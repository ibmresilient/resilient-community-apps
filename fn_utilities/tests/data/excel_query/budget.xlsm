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hor.Husar@ibm.com/resilient/resilient-community-apps/fn_utilities/tests/data/excel_query/"/>
    </mc:Choice>
  </mc:AlternateContent>
  <xr:revisionPtr revIDLastSave="0" documentId="8_{B8863F4E-2B93-9546-BC9C-A86BC3287026}" xr6:coauthVersionLast="33" xr6:coauthVersionMax="33" xr10:uidLastSave="{00000000-0000-0000-0000-000000000000}"/>
  <bookViews>
    <workbookView xWindow="0" yWindow="440" windowWidth="19200" windowHeight="20220" activeTab="1" xr2:uid="{00000000-000D-0000-FFFF-FFFF00000000}"/>
  </bookViews>
  <sheets>
    <sheet name="JAN 2015" sheetId="1" r:id="rId1"/>
    <sheet name="Sheet1" sheetId="14" r:id="rId2"/>
    <sheet name="FEB 2015" sheetId="2" r:id="rId3"/>
    <sheet name="MAR 2015" sheetId="3" r:id="rId4"/>
    <sheet name="APR 2015" sheetId="4" r:id="rId5"/>
    <sheet name="MAY 2015" sheetId="5" r:id="rId6"/>
    <sheet name="JUN 2015" sheetId="6" r:id="rId7"/>
    <sheet name="JUL 2015" sheetId="7" r:id="rId8"/>
    <sheet name="AUG 2015" sheetId="8" r:id="rId9"/>
    <sheet name="SEP 2015" sheetId="9" r:id="rId10"/>
    <sheet name="OCT 2015" sheetId="10" r:id="rId11"/>
    <sheet name="NOV 2015" sheetId="11" r:id="rId12"/>
    <sheet name="DEC 2015" sheetId="12" r:id="rId13"/>
  </sheets>
  <definedNames>
    <definedName name="test1">'JAN 2015'!$B$21:$F$37,'JAN 2015'!$H1048559:$J1048562</definedName>
  </definedNames>
  <calcPr calcId="179017"/>
</workbook>
</file>

<file path=xl/calcChain.xml><?xml version="1.0" encoding="utf-8"?>
<calcChain xmlns="http://schemas.openxmlformats.org/spreadsheetml/2006/main">
  <c r="E12" i="14" l="1"/>
  <c r="D12" i="14"/>
  <c r="D11" i="14"/>
  <c r="E2" i="14"/>
  <c r="E3" i="14"/>
  <c r="E4" i="14"/>
  <c r="E5" i="14"/>
  <c r="E6" i="14"/>
  <c r="E7" i="14"/>
  <c r="E8" i="14"/>
  <c r="E9" i="14"/>
  <c r="E10" i="14"/>
  <c r="E11" i="14"/>
  <c r="E13" i="14"/>
  <c r="E14" i="14"/>
  <c r="E15" i="14"/>
  <c r="E16" i="14"/>
  <c r="E17" i="14"/>
  <c r="E18" i="14"/>
  <c r="E19" i="14"/>
  <c r="E20" i="14"/>
  <c r="E21" i="14"/>
  <c r="E22" i="14"/>
  <c r="E1" i="14"/>
  <c r="D53" i="12" l="1"/>
  <c r="I22" i="12"/>
  <c r="E16" i="12"/>
  <c r="E18" i="12" s="1"/>
  <c r="E22" i="12" s="1"/>
  <c r="F14" i="12"/>
  <c r="C14" i="12"/>
  <c r="F2" i="12"/>
  <c r="D53" i="11"/>
  <c r="I22" i="11"/>
  <c r="E16" i="11"/>
  <c r="E18" i="11" s="1"/>
  <c r="E22" i="11" s="1"/>
  <c r="F14" i="11"/>
  <c r="C14" i="11"/>
  <c r="F2" i="11"/>
  <c r="D53" i="10"/>
  <c r="I22" i="10"/>
  <c r="F14" i="10"/>
  <c r="C14" i="10"/>
  <c r="E16" i="10" s="1"/>
  <c r="E18" i="10" s="1"/>
  <c r="E22" i="10" s="1"/>
  <c r="F2" i="10"/>
  <c r="D53" i="9"/>
  <c r="I22" i="9"/>
  <c r="F14" i="9"/>
  <c r="C14" i="9"/>
  <c r="E16" i="9" s="1"/>
  <c r="E18" i="9" s="1"/>
  <c r="E22" i="9" s="1"/>
  <c r="F2" i="9"/>
  <c r="D53" i="8"/>
  <c r="I22" i="8"/>
  <c r="F14" i="8"/>
  <c r="C14" i="8"/>
  <c r="E16" i="8" s="1"/>
  <c r="E18" i="8" s="1"/>
  <c r="E22" i="8" s="1"/>
  <c r="F2" i="8"/>
  <c r="D53" i="7"/>
  <c r="I22" i="7"/>
  <c r="E16" i="7"/>
  <c r="E18" i="7" s="1"/>
  <c r="E22" i="7" s="1"/>
  <c r="F14" i="7"/>
  <c r="C14" i="7"/>
  <c r="F2" i="7"/>
  <c r="D53" i="6"/>
  <c r="I22" i="6"/>
  <c r="F14" i="6"/>
  <c r="C14" i="6"/>
  <c r="E16" i="6" s="1"/>
  <c r="E18" i="6" s="1"/>
  <c r="E22" i="6" s="1"/>
  <c r="F2" i="6"/>
  <c r="D53" i="5"/>
  <c r="I22" i="5"/>
  <c r="E16" i="5"/>
  <c r="E18" i="5" s="1"/>
  <c r="E22" i="5" s="1"/>
  <c r="F14" i="5"/>
  <c r="C14" i="5"/>
  <c r="F2" i="5"/>
  <c r="D53" i="4"/>
  <c r="I22" i="4"/>
  <c r="E16" i="4"/>
  <c r="E18" i="4" s="1"/>
  <c r="E22" i="4" s="1"/>
  <c r="F14" i="4"/>
  <c r="C14" i="4"/>
  <c r="F2" i="4"/>
  <c r="D53" i="3"/>
  <c r="I22" i="3"/>
  <c r="F14" i="3"/>
  <c r="C14" i="3"/>
  <c r="E16" i="3" s="1"/>
  <c r="E18" i="3" s="1"/>
  <c r="E22" i="3" s="1"/>
  <c r="F2" i="3"/>
  <c r="D53" i="2"/>
  <c r="I22" i="2"/>
  <c r="F14" i="2"/>
  <c r="C14" i="2"/>
  <c r="E16" i="2" s="1"/>
  <c r="E18" i="2" s="1"/>
  <c r="E22" i="2" s="1"/>
  <c r="F2" i="2"/>
  <c r="D53" i="1"/>
  <c r="I22" i="1"/>
  <c r="E16" i="1"/>
  <c r="E18" i="1" s="1"/>
  <c r="E22" i="1" s="1"/>
  <c r="F14" i="1"/>
  <c r="C14" i="1"/>
  <c r="F2" i="1"/>
  <c r="I23" i="5"/>
  <c r="J22" i="9"/>
  <c r="F22" i="11"/>
  <c r="J22" i="6"/>
  <c r="F22" i="6"/>
  <c r="J22" i="7"/>
  <c r="F22" i="9"/>
  <c r="I23" i="9"/>
  <c r="F22" i="8"/>
  <c r="I24" i="9"/>
  <c r="J22" i="1"/>
  <c r="J22" i="4"/>
  <c r="I23" i="2"/>
  <c r="B22" i="6"/>
  <c r="J23" i="9"/>
  <c r="J23" i="2"/>
  <c r="E23" i="9"/>
  <c r="F22" i="3"/>
  <c r="J22" i="11"/>
  <c r="B22" i="11" s="1"/>
  <c r="I23" i="7"/>
  <c r="J23" i="7" s="1"/>
  <c r="B22" i="9"/>
  <c r="I23" i="3"/>
  <c r="J22" i="8"/>
  <c r="I24" i="5"/>
  <c r="J24" i="5" s="1"/>
  <c r="B24" i="5" s="1"/>
  <c r="I24" i="2"/>
  <c r="B23" i="7"/>
  <c r="B23" i="9"/>
  <c r="J24" i="9"/>
  <c r="F22" i="5"/>
  <c r="J22" i="2"/>
  <c r="B22" i="2" s="1"/>
  <c r="I23" i="12"/>
  <c r="I23" i="4"/>
  <c r="F22" i="10"/>
  <c r="F22" i="1"/>
  <c r="J23" i="4"/>
  <c r="B22" i="4"/>
  <c r="I25" i="9"/>
  <c r="I23" i="11"/>
  <c r="I24" i="11" s="1"/>
  <c r="I23" i="6"/>
  <c r="I24" i="6" s="1"/>
  <c r="J22" i="10"/>
  <c r="J23" i="11"/>
  <c r="B22" i="10"/>
  <c r="F22" i="4"/>
  <c r="F23" i="9"/>
  <c r="I23" i="8"/>
  <c r="F22" i="2"/>
  <c r="E23" i="2" s="1"/>
  <c r="F23" i="2" s="1"/>
  <c r="I23" i="10"/>
  <c r="J22" i="12"/>
  <c r="I24" i="7"/>
  <c r="B22" i="7"/>
  <c r="J22" i="5"/>
  <c r="I24" i="12"/>
  <c r="E23" i="11"/>
  <c r="F23" i="11" s="1"/>
  <c r="I23" i="1"/>
  <c r="F22" i="7"/>
  <c r="E23" i="7" s="1"/>
  <c r="J22" i="3"/>
  <c r="F22" i="12"/>
  <c r="J23" i="6"/>
  <c r="E23" i="6" s="1"/>
  <c r="J23" i="3"/>
  <c r="J23" i="12"/>
  <c r="B23" i="11"/>
  <c r="B23" i="6"/>
  <c r="I25" i="5"/>
  <c r="I26" i="5" s="1"/>
  <c r="B23" i="2"/>
  <c r="J25" i="5"/>
  <c r="B25" i="5"/>
  <c r="E24" i="9"/>
  <c r="F24" i="9" s="1"/>
  <c r="B24" i="9"/>
  <c r="I25" i="2"/>
  <c r="J24" i="2"/>
  <c r="B24" i="2" s="1"/>
  <c r="B23" i="4"/>
  <c r="E23" i="4"/>
  <c r="F23" i="4" s="1"/>
  <c r="I26" i="9"/>
  <c r="J25" i="9"/>
  <c r="B25" i="9" s="1"/>
  <c r="I25" i="11"/>
  <c r="J24" i="11"/>
  <c r="B24" i="11" s="1"/>
  <c r="J24" i="6"/>
  <c r="I24" i="8"/>
  <c r="J23" i="8"/>
  <c r="B23" i="8" s="1"/>
  <c r="I24" i="10"/>
  <c r="J23" i="10"/>
  <c r="I25" i="7"/>
  <c r="J24" i="7"/>
  <c r="J24" i="12"/>
  <c r="I25" i="12"/>
  <c r="J23" i="1"/>
  <c r="I24" i="1"/>
  <c r="B23" i="3"/>
  <c r="E23" i="3"/>
  <c r="F23" i="3" s="1"/>
  <c r="B23" i="12"/>
  <c r="E23" i="12"/>
  <c r="F23" i="12" s="1"/>
  <c r="J26" i="5"/>
  <c r="B26" i="5" s="1"/>
  <c r="I27" i="5"/>
  <c r="J25" i="2"/>
  <c r="B25" i="2" s="1"/>
  <c r="I26" i="2"/>
  <c r="J26" i="9"/>
  <c r="I27" i="9"/>
  <c r="I26" i="11"/>
  <c r="J25" i="11"/>
  <c r="B25" i="11" s="1"/>
  <c r="B24" i="6"/>
  <c r="J24" i="8"/>
  <c r="B24" i="8" s="1"/>
  <c r="I25" i="8"/>
  <c r="J24" i="10"/>
  <c r="I25" i="10"/>
  <c r="B23" i="10"/>
  <c r="E23" i="10"/>
  <c r="F23" i="10" s="1"/>
  <c r="I26" i="7"/>
  <c r="B24" i="7"/>
  <c r="J25" i="12"/>
  <c r="B25" i="12" s="1"/>
  <c r="B23" i="1"/>
  <c r="E23" i="1"/>
  <c r="J24" i="1"/>
  <c r="I25" i="1"/>
  <c r="I28" i="5"/>
  <c r="J27" i="5"/>
  <c r="B27" i="5" s="1"/>
  <c r="J26" i="2"/>
  <c r="B26" i="2" s="1"/>
  <c r="J27" i="9"/>
  <c r="I28" i="9"/>
  <c r="J26" i="11"/>
  <c r="B26" i="11" s="1"/>
  <c r="I27" i="11"/>
  <c r="J25" i="8"/>
  <c r="B25" i="8" s="1"/>
  <c r="I26" i="8"/>
  <c r="B24" i="10"/>
  <c r="E24" i="10"/>
  <c r="F24" i="10" s="1"/>
  <c r="I26" i="10"/>
  <c r="J25" i="10"/>
  <c r="B25" i="10" s="1"/>
  <c r="J26" i="7"/>
  <c r="I27" i="7"/>
  <c r="B24" i="1"/>
  <c r="I26" i="1"/>
  <c r="J25" i="1"/>
  <c r="B25" i="1" s="1"/>
  <c r="I29" i="5"/>
  <c r="J28" i="5"/>
  <c r="B28" i="5" s="1"/>
  <c r="J28" i="9"/>
  <c r="I29" i="9"/>
  <c r="I28" i="11"/>
  <c r="J27" i="11"/>
  <c r="I27" i="8"/>
  <c r="J26" i="8"/>
  <c r="I27" i="10"/>
  <c r="J26" i="10"/>
  <c r="B26" i="10" s="1"/>
  <c r="B26" i="7"/>
  <c r="I28" i="7"/>
  <c r="J27" i="7"/>
  <c r="J26" i="1"/>
  <c r="B26" i="1" s="1"/>
  <c r="I27" i="1"/>
  <c r="J29" i="5"/>
  <c r="B29" i="5" s="1"/>
  <c r="I30" i="5"/>
  <c r="J29" i="9"/>
  <c r="I30" i="9"/>
  <c r="I29" i="11"/>
  <c r="J28" i="11"/>
  <c r="J27" i="8"/>
  <c r="B27" i="8" s="1"/>
  <c r="I28" i="8"/>
  <c r="J27" i="10"/>
  <c r="I28" i="10"/>
  <c r="J28" i="7"/>
  <c r="I29" i="7"/>
  <c r="I28" i="1"/>
  <c r="J27" i="1"/>
  <c r="B27" i="1" s="1"/>
  <c r="I31" i="5"/>
  <c r="J30" i="5"/>
  <c r="B30" i="5" s="1"/>
  <c r="I31" i="9"/>
  <c r="J30" i="9"/>
  <c r="J29" i="11"/>
  <c r="B29" i="11" s="1"/>
  <c r="I30" i="11"/>
  <c r="I29" i="8"/>
  <c r="J28" i="8"/>
  <c r="I29" i="10"/>
  <c r="J28" i="10"/>
  <c r="I30" i="7"/>
  <c r="J29" i="7"/>
  <c r="I29" i="1"/>
  <c r="J28" i="1"/>
  <c r="B28" i="1" s="1"/>
  <c r="J31" i="5"/>
  <c r="B31" i="5" s="1"/>
  <c r="I32" i="5"/>
  <c r="J31" i="9"/>
  <c r="I32" i="9"/>
  <c r="J30" i="11"/>
  <c r="I31" i="11"/>
  <c r="J29" i="8"/>
  <c r="B29" i="8" s="1"/>
  <c r="I30" i="8"/>
  <c r="B28" i="8"/>
  <c r="I30" i="10"/>
  <c r="J29" i="10"/>
  <c r="B29" i="10" s="1"/>
  <c r="J30" i="7"/>
  <c r="I31" i="7"/>
  <c r="I30" i="1"/>
  <c r="J29" i="1"/>
  <c r="B29" i="1" s="1"/>
  <c r="J32" i="5"/>
  <c r="I33" i="5"/>
  <c r="I33" i="9"/>
  <c r="J32" i="9"/>
  <c r="I32" i="11"/>
  <c r="J31" i="11"/>
  <c r="J30" i="8"/>
  <c r="I31" i="8"/>
  <c r="I31" i="10"/>
  <c r="J30" i="10"/>
  <c r="I32" i="7"/>
  <c r="J31" i="7"/>
  <c r="I31" i="1"/>
  <c r="J30" i="1"/>
  <c r="B30" i="1" s="1"/>
  <c r="J33" i="5"/>
  <c r="I34" i="5"/>
  <c r="I34" i="9"/>
  <c r="J33" i="9"/>
  <c r="B33" i="9" s="1"/>
  <c r="J32" i="11"/>
  <c r="I33" i="11"/>
  <c r="B30" i="8"/>
  <c r="J31" i="8"/>
  <c r="I32" i="8"/>
  <c r="I32" i="10"/>
  <c r="J31" i="10"/>
  <c r="I33" i="7"/>
  <c r="J32" i="7"/>
  <c r="J31" i="1"/>
  <c r="B31" i="1" s="1"/>
  <c r="I32" i="1"/>
  <c r="J34" i="5"/>
  <c r="I35" i="5"/>
  <c r="I35" i="9"/>
  <c r="J34" i="9"/>
  <c r="I34" i="11"/>
  <c r="J33" i="11"/>
  <c r="B31" i="8"/>
  <c r="I33" i="8"/>
  <c r="J32" i="8"/>
  <c r="I33" i="10"/>
  <c r="J32" i="10"/>
  <c r="J33" i="7"/>
  <c r="I34" i="7"/>
  <c r="I33" i="1"/>
  <c r="J32" i="1"/>
  <c r="B32" i="1" s="1"/>
  <c r="I36" i="5"/>
  <c r="J35" i="5"/>
  <c r="I36" i="9"/>
  <c r="J35" i="9"/>
  <c r="B35" i="9" s="1"/>
  <c r="I35" i="11"/>
  <c r="J34" i="11"/>
  <c r="J33" i="8"/>
  <c r="I34" i="8"/>
  <c r="B32" i="8"/>
  <c r="I34" i="10"/>
  <c r="J33" i="10"/>
  <c r="J34" i="7"/>
  <c r="B34" i="7" s="1"/>
  <c r="I35" i="7"/>
  <c r="I34" i="1"/>
  <c r="J33" i="1"/>
  <c r="B33" i="1" s="1"/>
  <c r="I37" i="5"/>
  <c r="J36" i="5"/>
  <c r="I37" i="9"/>
  <c r="J36" i="9"/>
  <c r="I36" i="11"/>
  <c r="J35" i="11"/>
  <c r="B33" i="8"/>
  <c r="J34" i="8"/>
  <c r="I35" i="8"/>
  <c r="I35" i="10"/>
  <c r="J34" i="10"/>
  <c r="I36" i="7"/>
  <c r="J35" i="7"/>
  <c r="J34" i="1"/>
  <c r="I35" i="1"/>
  <c r="J37" i="5"/>
  <c r="I38" i="5"/>
  <c r="I38" i="9"/>
  <c r="J37" i="9"/>
  <c r="I37" i="11"/>
  <c r="J36" i="11"/>
  <c r="B34" i="8"/>
  <c r="J35" i="8"/>
  <c r="I36" i="8"/>
  <c r="I36" i="10"/>
  <c r="J35" i="10"/>
  <c r="J36" i="7"/>
  <c r="I37" i="7"/>
  <c r="I36" i="1"/>
  <c r="J35" i="1"/>
  <c r="J38" i="5"/>
  <c r="I39" i="5"/>
  <c r="I39" i="9"/>
  <c r="J38" i="9"/>
  <c r="J37" i="11"/>
  <c r="I38" i="11"/>
  <c r="B35" i="8"/>
  <c r="I37" i="8"/>
  <c r="J36" i="8"/>
  <c r="I37" i="10"/>
  <c r="J36" i="10"/>
  <c r="I38" i="7"/>
  <c r="J37" i="7"/>
  <c r="J36" i="1"/>
  <c r="I37" i="1"/>
  <c r="J39" i="5"/>
  <c r="B39" i="5" s="1"/>
  <c r="I40" i="5"/>
  <c r="J39" i="9"/>
  <c r="I40" i="9"/>
  <c r="I39" i="11"/>
  <c r="J38" i="11"/>
  <c r="J37" i="8"/>
  <c r="I38" i="8"/>
  <c r="B36" i="8"/>
  <c r="J37" i="10"/>
  <c r="I38" i="10"/>
  <c r="J38" i="7"/>
  <c r="I39" i="7"/>
  <c r="J37" i="1"/>
  <c r="I38" i="1"/>
  <c r="I41" i="5"/>
  <c r="J40" i="5"/>
  <c r="I41" i="9"/>
  <c r="J40" i="9"/>
  <c r="J39" i="11"/>
  <c r="I40" i="11"/>
  <c r="B37" i="8"/>
  <c r="I39" i="8"/>
  <c r="J38" i="8"/>
  <c r="I39" i="10"/>
  <c r="J38" i="10"/>
  <c r="I40" i="7"/>
  <c r="J39" i="7"/>
  <c r="J38" i="1"/>
  <c r="I39" i="1"/>
  <c r="I42" i="5"/>
  <c r="J41" i="5"/>
  <c r="I42" i="9"/>
  <c r="J41" i="9"/>
  <c r="I41" i="11"/>
  <c r="J40" i="11"/>
  <c r="I40" i="8"/>
  <c r="J39" i="8"/>
  <c r="B39" i="8" s="1"/>
  <c r="B38" i="8"/>
  <c r="J39" i="10"/>
  <c r="I40" i="10"/>
  <c r="J40" i="7"/>
  <c r="I41" i="7"/>
  <c r="I40" i="1"/>
  <c r="J39" i="1"/>
  <c r="J42" i="5"/>
  <c r="I43" i="5"/>
  <c r="I43" i="9"/>
  <c r="J42" i="9"/>
  <c r="J41" i="11"/>
  <c r="I42" i="11"/>
  <c r="J40" i="8"/>
  <c r="I41" i="8"/>
  <c r="I41" i="10"/>
  <c r="J40" i="10"/>
  <c r="I42" i="7"/>
  <c r="J41" i="7"/>
  <c r="J40" i="1"/>
  <c r="I41" i="1"/>
  <c r="I44" i="5"/>
  <c r="J43" i="5"/>
  <c r="J43" i="9"/>
  <c r="I44" i="9"/>
  <c r="I43" i="11"/>
  <c r="J42" i="11"/>
  <c r="B40" i="8"/>
  <c r="I42" i="8"/>
  <c r="J41" i="8"/>
  <c r="J41" i="10"/>
  <c r="I42" i="10"/>
  <c r="I43" i="7"/>
  <c r="J42" i="7"/>
  <c r="I42" i="1"/>
  <c r="J41" i="1"/>
  <c r="J44" i="5"/>
  <c r="I45" i="5"/>
  <c r="I45" i="9"/>
  <c r="J44" i="9"/>
  <c r="J43" i="11"/>
  <c r="I44" i="11"/>
  <c r="J42" i="8"/>
  <c r="I43" i="8"/>
  <c r="B41" i="8"/>
  <c r="I43" i="10"/>
  <c r="J42" i="10"/>
  <c r="J43" i="7"/>
  <c r="I44" i="7"/>
  <c r="I43" i="1"/>
  <c r="J42" i="1"/>
  <c r="I46" i="5"/>
  <c r="J45" i="5"/>
  <c r="I46" i="9"/>
  <c r="J45" i="9"/>
  <c r="I45" i="11"/>
  <c r="J44" i="11"/>
  <c r="B42" i="8"/>
  <c r="J43" i="8"/>
  <c r="I44" i="8"/>
  <c r="J43" i="10"/>
  <c r="I44" i="10"/>
  <c r="I45" i="7"/>
  <c r="J44" i="7"/>
  <c r="J43" i="1"/>
  <c r="I44" i="1"/>
  <c r="J46" i="5"/>
  <c r="I47" i="5"/>
  <c r="J46" i="9"/>
  <c r="I47" i="9"/>
  <c r="I46" i="11"/>
  <c r="J45" i="11"/>
  <c r="B45" i="11" s="1"/>
  <c r="B43" i="8"/>
  <c r="I45" i="8"/>
  <c r="J44" i="8"/>
  <c r="J44" i="10"/>
  <c r="I45" i="10"/>
  <c r="I46" i="7"/>
  <c r="J45" i="7"/>
  <c r="J44" i="1"/>
  <c r="I45" i="1"/>
  <c r="I48" i="5"/>
  <c r="J47" i="5"/>
  <c r="I48" i="9"/>
  <c r="J47" i="9"/>
  <c r="J46" i="11"/>
  <c r="I47" i="11"/>
  <c r="J45" i="8"/>
  <c r="I46" i="8"/>
  <c r="B44" i="8"/>
  <c r="J45" i="10"/>
  <c r="I46" i="10"/>
  <c r="I47" i="7"/>
  <c r="J46" i="7"/>
  <c r="J45" i="1"/>
  <c r="I46" i="1"/>
  <c r="I49" i="5"/>
  <c r="J48" i="5"/>
  <c r="J48" i="9"/>
  <c r="I49" i="9"/>
  <c r="J47" i="11"/>
  <c r="I48" i="11"/>
  <c r="B45" i="8"/>
  <c r="J46" i="8"/>
  <c r="I47" i="8"/>
  <c r="J46" i="10"/>
  <c r="I47" i="10"/>
  <c r="J47" i="7"/>
  <c r="I48" i="7"/>
  <c r="J46" i="1"/>
  <c r="I47" i="1"/>
  <c r="I50" i="5"/>
  <c r="J49" i="5"/>
  <c r="I50" i="9"/>
  <c r="J49" i="9"/>
  <c r="I49" i="11"/>
  <c r="J48" i="11"/>
  <c r="B46" i="8"/>
  <c r="I48" i="8"/>
  <c r="J47" i="8"/>
  <c r="I48" i="10"/>
  <c r="J47" i="10"/>
  <c r="J48" i="7"/>
  <c r="I49" i="7"/>
  <c r="J47" i="1"/>
  <c r="I48" i="1"/>
  <c r="I51" i="5"/>
  <c r="J50" i="5"/>
  <c r="B50" i="5" s="1"/>
  <c r="J50" i="9"/>
  <c r="I51" i="9"/>
  <c r="I50" i="11"/>
  <c r="J49" i="11"/>
  <c r="J48" i="8"/>
  <c r="I49" i="8"/>
  <c r="B47" i="8"/>
  <c r="I49" i="10"/>
  <c r="J48" i="10"/>
  <c r="J49" i="7"/>
  <c r="I50" i="7"/>
  <c r="J48" i="1"/>
  <c r="I49" i="1"/>
  <c r="I52" i="5"/>
  <c r="J52" i="5" s="1"/>
  <c r="J51" i="5"/>
  <c r="I52" i="9"/>
  <c r="J52" i="9" s="1"/>
  <c r="J51" i="9"/>
  <c r="J50" i="11"/>
  <c r="I51" i="11"/>
  <c r="B48" i="8"/>
  <c r="I50" i="8"/>
  <c r="J49" i="8"/>
  <c r="J49" i="10"/>
  <c r="I50" i="10"/>
  <c r="I51" i="7"/>
  <c r="J50" i="7"/>
  <c r="I50" i="1"/>
  <c r="J49" i="1"/>
  <c r="I52" i="11"/>
  <c r="J51" i="11"/>
  <c r="I51" i="8"/>
  <c r="J50" i="8"/>
  <c r="B49" i="8"/>
  <c r="J50" i="10"/>
  <c r="I51" i="10"/>
  <c r="J51" i="7"/>
  <c r="I52" i="7"/>
  <c r="J52" i="7" s="1"/>
  <c r="J50" i="1"/>
  <c r="I51" i="1"/>
  <c r="I52" i="8"/>
  <c r="J52" i="8" s="1"/>
  <c r="J51" i="8"/>
  <c r="B50" i="8"/>
  <c r="J51" i="10"/>
  <c r="I52" i="10"/>
  <c r="J52" i="10" s="1"/>
  <c r="I52" i="1"/>
  <c r="J52" i="1" s="1"/>
  <c r="J51" i="1"/>
  <c r="B51" i="8"/>
  <c r="B51" i="1"/>
  <c r="B50" i="10"/>
  <c r="B52" i="9"/>
  <c r="B47" i="1"/>
  <c r="B46" i="10"/>
  <c r="B47" i="9"/>
  <c r="B44" i="7"/>
  <c r="B43" i="11"/>
  <c r="B43" i="5"/>
  <c r="B40" i="7"/>
  <c r="B39" i="11"/>
  <c r="B36" i="1"/>
  <c r="B35" i="10"/>
  <c r="B36" i="9"/>
  <c r="B34" i="9"/>
  <c r="B31" i="11"/>
  <c r="B30" i="9"/>
  <c r="B28" i="9"/>
  <c r="B24" i="12"/>
  <c r="B22" i="12"/>
  <c r="B40" i="9"/>
  <c r="B36" i="5"/>
  <c r="B32" i="9"/>
  <c r="E25" i="10"/>
  <c r="F25" i="10" s="1"/>
  <c r="J25" i="7"/>
  <c r="B25" i="7" s="1"/>
  <c r="B44" i="11"/>
  <c r="B40" i="5"/>
  <c r="B37" i="9"/>
  <c r="B32" i="7"/>
  <c r="B27" i="9"/>
  <c r="B51" i="10"/>
  <c r="B48" i="11"/>
  <c r="B45" i="9"/>
  <c r="B37" i="1"/>
  <c r="B30" i="7"/>
  <c r="F23" i="6"/>
  <c r="E24" i="6" s="1"/>
  <c r="F24" i="6" s="1"/>
  <c r="B50" i="7"/>
  <c r="B44" i="10"/>
  <c r="B41" i="5"/>
  <c r="B34" i="1"/>
  <c r="B32" i="11"/>
  <c r="B29" i="9"/>
  <c r="B22" i="3"/>
  <c r="B49" i="10"/>
  <c r="B46" i="7"/>
  <c r="B41" i="10"/>
  <c r="B35" i="7"/>
  <c r="B27" i="7"/>
  <c r="B52" i="7"/>
  <c r="B45" i="10"/>
  <c r="B42" i="5"/>
  <c r="B34" i="10"/>
  <c r="E24" i="11"/>
  <c r="F24" i="11" s="1"/>
  <c r="B50" i="9"/>
  <c r="B38" i="10"/>
  <c r="B30" i="10"/>
  <c r="B22" i="5"/>
  <c r="B52" i="1"/>
  <c r="B51" i="11"/>
  <c r="B51" i="5"/>
  <c r="B48" i="7"/>
  <c r="B47" i="11"/>
  <c r="B47" i="5"/>
  <c r="B43" i="10"/>
  <c r="B44" i="9"/>
  <c r="B40" i="1"/>
  <c r="B39" i="10"/>
  <c r="B37" i="7"/>
  <c r="B36" i="11"/>
  <c r="B34" i="5"/>
  <c r="B28" i="7"/>
  <c r="E24" i="2"/>
  <c r="F24" i="2" s="1"/>
  <c r="B44" i="5"/>
  <c r="B36" i="10"/>
  <c r="B32" i="5"/>
  <c r="I25" i="6"/>
  <c r="B48" i="1"/>
  <c r="B41" i="1"/>
  <c r="B37" i="11"/>
  <c r="B34" i="11"/>
  <c r="F23" i="1"/>
  <c r="E24" i="1" s="1"/>
  <c r="F24" i="1" s="1"/>
  <c r="B52" i="8"/>
  <c r="B49" i="9"/>
  <c r="B45" i="5"/>
  <c r="B38" i="7"/>
  <c r="B35" i="5"/>
  <c r="B26" i="9"/>
  <c r="B50" i="1"/>
  <c r="B49" i="5"/>
  <c r="B42" i="1"/>
  <c r="B38" i="5"/>
  <c r="B31" i="9"/>
  <c r="I24" i="3"/>
  <c r="B46" i="1"/>
  <c r="B42" i="11"/>
  <c r="B35" i="1"/>
  <c r="B29" i="7"/>
  <c r="B51" i="9"/>
  <c r="B43" i="9"/>
  <c r="B36" i="7"/>
  <c r="B27" i="11"/>
  <c r="B52" i="10"/>
  <c r="J52" i="11"/>
  <c r="B52" i="5"/>
  <c r="B47" i="10"/>
  <c r="B48" i="9"/>
  <c r="B44" i="1"/>
  <c r="B41" i="7"/>
  <c r="B40" i="11"/>
  <c r="B33" i="10"/>
  <c r="B27" i="10"/>
  <c r="E25" i="9"/>
  <c r="F25" i="9" s="1"/>
  <c r="E26" i="9" s="1"/>
  <c r="F26" i="9" s="1"/>
  <c r="E27" i="9" s="1"/>
  <c r="F27" i="9" s="1"/>
  <c r="E28" i="9" s="1"/>
  <c r="F28" i="9" s="1"/>
  <c r="E29" i="9" s="1"/>
  <c r="F29" i="9" s="1"/>
  <c r="E30" i="9" s="1"/>
  <c r="F30" i="9" s="1"/>
  <c r="E31" i="9" s="1"/>
  <c r="F31" i="9" s="1"/>
  <c r="E32" i="9" s="1"/>
  <c r="F32" i="9" s="1"/>
  <c r="B49" i="1"/>
  <c r="B48" i="5"/>
  <c r="B45" i="7"/>
  <c r="B40" i="10"/>
  <c r="B41" i="9"/>
  <c r="B37" i="5"/>
  <c r="B31" i="10"/>
  <c r="B28" i="11"/>
  <c r="I24" i="4"/>
  <c r="B49" i="7"/>
  <c r="B45" i="1"/>
  <c r="B41" i="11"/>
  <c r="B38" i="9"/>
  <c r="B30" i="11"/>
  <c r="B22" i="8"/>
  <c r="B48" i="10"/>
  <c r="B46" i="9"/>
  <c r="B38" i="1"/>
  <c r="B33" i="5"/>
  <c r="I27" i="2"/>
  <c r="B50" i="11"/>
  <c r="B46" i="5"/>
  <c r="B39" i="7"/>
  <c r="B31" i="7"/>
  <c r="E23" i="8"/>
  <c r="F23" i="8" s="1"/>
  <c r="B43" i="1"/>
  <c r="B39" i="9"/>
  <c r="B28" i="10"/>
  <c r="B42" i="7"/>
  <c r="B42" i="9"/>
  <c r="B33" i="7"/>
  <c r="F23" i="7"/>
  <c r="E24" i="7" s="1"/>
  <c r="F24" i="7" s="1"/>
  <c r="B49" i="11"/>
  <c r="B43" i="7"/>
  <c r="B38" i="11"/>
  <c r="B26" i="8"/>
  <c r="B51" i="7"/>
  <c r="B42" i="10"/>
  <c r="B35" i="11"/>
  <c r="I26" i="12"/>
  <c r="B37" i="10"/>
  <c r="B32" i="10"/>
  <c r="E24" i="12"/>
  <c r="F24" i="12" s="1"/>
  <c r="B47" i="7"/>
  <c r="B39" i="1"/>
  <c r="B33" i="11"/>
  <c r="J23" i="5"/>
  <c r="B46" i="11"/>
  <c r="I26" i="6"/>
  <c r="J25" i="6"/>
  <c r="B25" i="6" s="1"/>
  <c r="J24" i="3"/>
  <c r="I25" i="3"/>
  <c r="B52" i="11"/>
  <c r="J24" i="4"/>
  <c r="I28" i="2"/>
  <c r="J26" i="12"/>
  <c r="B26" i="12" s="1"/>
  <c r="E23" i="5"/>
  <c r="F23" i="5" s="1"/>
  <c r="I27" i="6"/>
  <c r="E24" i="3"/>
  <c r="F24" i="3" s="1"/>
  <c r="I26" i="3"/>
  <c r="J25" i="3"/>
  <c r="B25" i="3" s="1"/>
  <c r="E24" i="4"/>
  <c r="F24" i="4" s="1"/>
  <c r="J28" i="2"/>
  <c r="B28" i="2" s="1"/>
  <c r="J27" i="6"/>
  <c r="B27" i="6" s="1"/>
  <c r="I28" i="6"/>
  <c r="I27" i="3"/>
  <c r="J26" i="3"/>
  <c r="I29" i="6"/>
  <c r="J28" i="6"/>
  <c r="B28" i="6" s="1"/>
  <c r="J27" i="3"/>
  <c r="I28" i="3"/>
  <c r="I30" i="6"/>
  <c r="J29" i="6"/>
  <c r="B29" i="6" s="1"/>
  <c r="J28" i="3"/>
  <c r="I29" i="3"/>
  <c r="I31" i="6"/>
  <c r="J30" i="6"/>
  <c r="B30" i="6" s="1"/>
  <c r="I30" i="3"/>
  <c r="J29" i="3"/>
  <c r="B29" i="3" s="1"/>
  <c r="J31" i="6"/>
  <c r="B31" i="6" s="1"/>
  <c r="I32" i="6"/>
  <c r="J30" i="3"/>
  <c r="I31" i="3"/>
  <c r="J32" i="6"/>
  <c r="B32" i="6" s="1"/>
  <c r="I33" i="6"/>
  <c r="I32" i="3"/>
  <c r="J31" i="3"/>
  <c r="I34" i="6"/>
  <c r="J33" i="6"/>
  <c r="B33" i="6" s="1"/>
  <c r="J32" i="3"/>
  <c r="I33" i="3"/>
  <c r="J34" i="6"/>
  <c r="B34" i="6" s="1"/>
  <c r="I35" i="6"/>
  <c r="I34" i="3"/>
  <c r="J33" i="3"/>
  <c r="I36" i="6"/>
  <c r="J35" i="6"/>
  <c r="B35" i="6" s="1"/>
  <c r="J34" i="3"/>
  <c r="I35" i="3"/>
  <c r="J36" i="6"/>
  <c r="B36" i="6" s="1"/>
  <c r="I37" i="6"/>
  <c r="I36" i="3"/>
  <c r="J35" i="3"/>
  <c r="J37" i="6"/>
  <c r="B37" i="6" s="1"/>
  <c r="I38" i="6"/>
  <c r="J36" i="3"/>
  <c r="I37" i="3"/>
  <c r="I39" i="6"/>
  <c r="J38" i="6"/>
  <c r="B38" i="6" s="1"/>
  <c r="J37" i="3"/>
  <c r="I38" i="3"/>
  <c r="J39" i="6"/>
  <c r="B39" i="6" s="1"/>
  <c r="I40" i="6"/>
  <c r="I39" i="3"/>
  <c r="J38" i="3"/>
  <c r="I41" i="6"/>
  <c r="J40" i="6"/>
  <c r="B40" i="6" s="1"/>
  <c r="J39" i="3"/>
  <c r="I40" i="3"/>
  <c r="J41" i="6"/>
  <c r="B41" i="6" s="1"/>
  <c r="I42" i="6"/>
  <c r="I41" i="3"/>
  <c r="J40" i="3"/>
  <c r="J42" i="6"/>
  <c r="B42" i="6" s="1"/>
  <c r="I43" i="6"/>
  <c r="J41" i="3"/>
  <c r="I42" i="3"/>
  <c r="I44" i="6"/>
  <c r="J43" i="6"/>
  <c r="B43" i="6" s="1"/>
  <c r="J42" i="3"/>
  <c r="I43" i="3"/>
  <c r="I45" i="6"/>
  <c r="J44" i="6"/>
  <c r="B44" i="6" s="1"/>
  <c r="J43" i="3"/>
  <c r="I44" i="3"/>
  <c r="J45" i="6"/>
  <c r="B45" i="6" s="1"/>
  <c r="I46" i="6"/>
  <c r="I45" i="3"/>
  <c r="J44" i="3"/>
  <c r="J46" i="6"/>
  <c r="B46" i="6" s="1"/>
  <c r="I47" i="6"/>
  <c r="J45" i="3"/>
  <c r="I46" i="3"/>
  <c r="I48" i="6"/>
  <c r="J47" i="6"/>
  <c r="B47" i="6" s="1"/>
  <c r="J46" i="3"/>
  <c r="I47" i="3"/>
  <c r="I49" i="6"/>
  <c r="J48" i="6"/>
  <c r="B48" i="6" s="1"/>
  <c r="J47" i="3"/>
  <c r="I48" i="3"/>
  <c r="I50" i="6"/>
  <c r="J49" i="6"/>
  <c r="B49" i="6" s="1"/>
  <c r="J48" i="3"/>
  <c r="I49" i="3"/>
  <c r="I51" i="6"/>
  <c r="J50" i="6"/>
  <c r="B50" i="6" s="1"/>
  <c r="J49" i="3"/>
  <c r="I50" i="3"/>
  <c r="J51" i="6"/>
  <c r="B51" i="6" s="1"/>
  <c r="I52" i="6"/>
  <c r="J52" i="6" s="1"/>
  <c r="B52" i="6" s="1"/>
  <c r="I51" i="3"/>
  <c r="J50" i="3"/>
  <c r="I52" i="3"/>
  <c r="J51" i="3"/>
  <c r="B51" i="3"/>
  <c r="B44" i="3"/>
  <c r="B36" i="3"/>
  <c r="B27" i="3"/>
  <c r="J26" i="6"/>
  <c r="B26" i="6" s="1"/>
  <c r="E33" i="9"/>
  <c r="F33" i="9" s="1"/>
  <c r="E34" i="9" s="1"/>
  <c r="F34" i="9" s="1"/>
  <c r="B43" i="3"/>
  <c r="B35" i="3"/>
  <c r="B26" i="3"/>
  <c r="B23" i="5"/>
  <c r="E25" i="1"/>
  <c r="F25" i="1" s="1"/>
  <c r="B42" i="3"/>
  <c r="E25" i="2"/>
  <c r="F25" i="2" s="1"/>
  <c r="B41" i="3"/>
  <c r="I27" i="12"/>
  <c r="B48" i="3"/>
  <c r="E25" i="7"/>
  <c r="F25" i="7" s="1"/>
  <c r="E26" i="7" s="1"/>
  <c r="F26" i="7" s="1"/>
  <c r="E27" i="7" s="1"/>
  <c r="F27" i="7" s="1"/>
  <c r="E28" i="7" s="1"/>
  <c r="F28" i="7" s="1"/>
  <c r="E29" i="7" s="1"/>
  <c r="F29" i="7" s="1"/>
  <c r="E30" i="7" s="1"/>
  <c r="F30" i="7" s="1"/>
  <c r="E31" i="7" s="1"/>
  <c r="F31" i="7" s="1"/>
  <c r="E32" i="7" s="1"/>
  <c r="F32" i="7" s="1"/>
  <c r="E33" i="7" s="1"/>
  <c r="F33" i="7" s="1"/>
  <c r="B39" i="3"/>
  <c r="E24" i="8"/>
  <c r="F24" i="8" s="1"/>
  <c r="B30" i="3"/>
  <c r="B37" i="3"/>
  <c r="J52" i="3"/>
  <c r="B34" i="3"/>
  <c r="E25" i="12"/>
  <c r="F25" i="12" s="1"/>
  <c r="B49" i="3"/>
  <c r="B33" i="3"/>
  <c r="E25" i="11"/>
  <c r="F25" i="11" s="1"/>
  <c r="B32" i="3"/>
  <c r="B47" i="3"/>
  <c r="I29" i="2"/>
  <c r="B46" i="3"/>
  <c r="B38" i="3"/>
  <c r="B45" i="3"/>
  <c r="B28" i="3"/>
  <c r="I25" i="4"/>
  <c r="B50" i="3"/>
  <c r="E25" i="3"/>
  <c r="F25" i="3" s="1"/>
  <c r="E26" i="3" s="1"/>
  <c r="F26" i="3" s="1"/>
  <c r="E27" i="3" s="1"/>
  <c r="F27" i="3" s="1"/>
  <c r="E28" i="3" s="1"/>
  <c r="F28" i="3" s="1"/>
  <c r="B40" i="3"/>
  <c r="E25" i="6"/>
  <c r="F25" i="6" s="1"/>
  <c r="B31" i="3"/>
  <c r="E26" i="10"/>
  <c r="F26" i="10" s="1"/>
  <c r="E27" i="10" s="1"/>
  <c r="F27" i="10" s="1"/>
  <c r="E28" i="10" s="1"/>
  <c r="F28" i="10" s="1"/>
  <c r="B24" i="4"/>
  <c r="B24" i="3"/>
  <c r="E24" i="5"/>
  <c r="F24" i="5" s="1"/>
  <c r="J27" i="2"/>
  <c r="B27" i="2" s="1"/>
  <c r="J27" i="12"/>
  <c r="B27" i="12" s="1"/>
  <c r="I28" i="12"/>
  <c r="B52" i="3"/>
  <c r="J29" i="2"/>
  <c r="B29" i="2" s="1"/>
  <c r="I30" i="2"/>
  <c r="J25" i="4"/>
  <c r="I26" i="4"/>
  <c r="J28" i="12"/>
  <c r="B28" i="12" s="1"/>
  <c r="I29" i="12"/>
  <c r="I31" i="2"/>
  <c r="J30" i="2"/>
  <c r="B30" i="2" s="1"/>
  <c r="E25" i="4"/>
  <c r="F25" i="4" s="1"/>
  <c r="B25" i="4"/>
  <c r="J26" i="4"/>
  <c r="I27" i="4"/>
  <c r="J29" i="12"/>
  <c r="B29" i="12" s="1"/>
  <c r="I30" i="12"/>
  <c r="J31" i="2"/>
  <c r="B31" i="2" s="1"/>
  <c r="I32" i="2"/>
  <c r="E26" i="4"/>
  <c r="F26" i="4" s="1"/>
  <c r="B26" i="4"/>
  <c r="I28" i="4"/>
  <c r="J27" i="4"/>
  <c r="J30" i="12"/>
  <c r="B30" i="12" s="1"/>
  <c r="I31" i="12"/>
  <c r="J32" i="2"/>
  <c r="B32" i="2" s="1"/>
  <c r="I33" i="2"/>
  <c r="J28" i="4"/>
  <c r="I29" i="4"/>
  <c r="E27" i="4"/>
  <c r="F27" i="4" s="1"/>
  <c r="B27" i="4"/>
  <c r="I32" i="12"/>
  <c r="J31" i="12"/>
  <c r="B31" i="12" s="1"/>
  <c r="I34" i="2"/>
  <c r="J33" i="2"/>
  <c r="B33" i="2" s="1"/>
  <c r="E28" i="4"/>
  <c r="F28" i="4" s="1"/>
  <c r="B28" i="4"/>
  <c r="J29" i="4"/>
  <c r="I30" i="4"/>
  <c r="J32" i="12"/>
  <c r="B32" i="12" s="1"/>
  <c r="I33" i="12"/>
  <c r="J34" i="2"/>
  <c r="B34" i="2" s="1"/>
  <c r="I35" i="2"/>
  <c r="E29" i="4"/>
  <c r="F29" i="4" s="1"/>
  <c r="B29" i="4"/>
  <c r="I31" i="4"/>
  <c r="J30" i="4"/>
  <c r="B30" i="4" s="1"/>
  <c r="I34" i="12"/>
  <c r="J33" i="12"/>
  <c r="B33" i="12" s="1"/>
  <c r="J35" i="2"/>
  <c r="B35" i="2" s="1"/>
  <c r="I36" i="2"/>
  <c r="J31" i="4"/>
  <c r="I32" i="4"/>
  <c r="J34" i="12"/>
  <c r="B34" i="12" s="1"/>
  <c r="I35" i="12"/>
  <c r="J36" i="2"/>
  <c r="B36" i="2" s="1"/>
  <c r="I37" i="2"/>
  <c r="B31" i="4"/>
  <c r="J32" i="4"/>
  <c r="I33" i="4"/>
  <c r="I36" i="12"/>
  <c r="J35" i="12"/>
  <c r="B35" i="12" s="1"/>
  <c r="J37" i="2"/>
  <c r="B37" i="2" s="1"/>
  <c r="I38" i="2"/>
  <c r="B32" i="4"/>
  <c r="I34" i="4"/>
  <c r="J33" i="4"/>
  <c r="I37" i="12"/>
  <c r="J36" i="12"/>
  <c r="B36" i="12" s="1"/>
  <c r="J38" i="2"/>
  <c r="B38" i="2" s="1"/>
  <c r="I39" i="2"/>
  <c r="J34" i="4"/>
  <c r="I35" i="4"/>
  <c r="B33" i="4"/>
  <c r="J37" i="12"/>
  <c r="B37" i="12" s="1"/>
  <c r="I38" i="12"/>
  <c r="J39" i="2"/>
  <c r="B39" i="2" s="1"/>
  <c r="I40" i="2"/>
  <c r="B34" i="4"/>
  <c r="J35" i="4"/>
  <c r="I36" i="4"/>
  <c r="I39" i="12"/>
  <c r="J38" i="12"/>
  <c r="B38" i="12" s="1"/>
  <c r="J40" i="2"/>
  <c r="B40" i="2" s="1"/>
  <c r="I41" i="2"/>
  <c r="B35" i="4"/>
  <c r="J36" i="4"/>
  <c r="I37" i="4"/>
  <c r="J39" i="12"/>
  <c r="B39" i="12" s="1"/>
  <c r="I40" i="12"/>
  <c r="J41" i="2"/>
  <c r="B41" i="2" s="1"/>
  <c r="I42" i="2"/>
  <c r="B36" i="4"/>
  <c r="J37" i="4"/>
  <c r="I38" i="4"/>
  <c r="I41" i="12"/>
  <c r="J40" i="12"/>
  <c r="B40" i="12" s="1"/>
  <c r="I43" i="2"/>
  <c r="J42" i="2"/>
  <c r="B42" i="2" s="1"/>
  <c r="B37" i="4"/>
  <c r="I39" i="4"/>
  <c r="J38" i="4"/>
  <c r="J41" i="12"/>
  <c r="B41" i="12" s="1"/>
  <c r="I42" i="12"/>
  <c r="J43" i="2"/>
  <c r="B43" i="2" s="1"/>
  <c r="I44" i="2"/>
  <c r="J39" i="4"/>
  <c r="I40" i="4"/>
  <c r="B38" i="4"/>
  <c r="I43" i="12"/>
  <c r="J42" i="12"/>
  <c r="B42" i="12" s="1"/>
  <c r="I45" i="2"/>
  <c r="J44" i="2"/>
  <c r="B44" i="2" s="1"/>
  <c r="B39" i="4"/>
  <c r="I41" i="4"/>
  <c r="J40" i="4"/>
  <c r="I44" i="12"/>
  <c r="J43" i="12"/>
  <c r="B43" i="12" s="1"/>
  <c r="I46" i="2"/>
  <c r="J45" i="2"/>
  <c r="B45" i="2" s="1"/>
  <c r="J41" i="4"/>
  <c r="B41" i="4" s="1"/>
  <c r="I42" i="4"/>
  <c r="B40" i="4"/>
  <c r="J44" i="12"/>
  <c r="B44" i="12" s="1"/>
  <c r="I45" i="12"/>
  <c r="I47" i="2"/>
  <c r="J46" i="2"/>
  <c r="B46" i="2" s="1"/>
  <c r="I43" i="4"/>
  <c r="J42" i="4"/>
  <c r="J45" i="12"/>
  <c r="B45" i="12" s="1"/>
  <c r="I46" i="12"/>
  <c r="J47" i="2"/>
  <c r="B47" i="2" s="1"/>
  <c r="I48" i="2"/>
  <c r="J43" i="4"/>
  <c r="I44" i="4"/>
  <c r="B42" i="4"/>
  <c r="I47" i="12"/>
  <c r="J46" i="12"/>
  <c r="B46" i="12" s="1"/>
  <c r="J48" i="2"/>
  <c r="B48" i="2" s="1"/>
  <c r="I49" i="2"/>
  <c r="B43" i="4"/>
  <c r="J44" i="4"/>
  <c r="I45" i="4"/>
  <c r="J47" i="12"/>
  <c r="B47" i="12" s="1"/>
  <c r="I48" i="12"/>
  <c r="I50" i="2"/>
  <c r="J49" i="2"/>
  <c r="B49" i="2" s="1"/>
  <c r="B44" i="4"/>
  <c r="J45" i="4"/>
  <c r="I46" i="4"/>
  <c r="J48" i="12"/>
  <c r="B48" i="12" s="1"/>
  <c r="I49" i="12"/>
  <c r="J50" i="2"/>
  <c r="B50" i="2" s="1"/>
  <c r="I51" i="2"/>
  <c r="B45" i="4"/>
  <c r="J46" i="4"/>
  <c r="I47" i="4"/>
  <c r="I50" i="12"/>
  <c r="J49" i="12"/>
  <c r="B49" i="12" s="1"/>
  <c r="I52" i="2"/>
  <c r="J52" i="2" s="1"/>
  <c r="B52" i="2" s="1"/>
  <c r="J51" i="2"/>
  <c r="B51" i="2" s="1"/>
  <c r="B46" i="4"/>
  <c r="J47" i="4"/>
  <c r="I48" i="4"/>
  <c r="I51" i="12"/>
  <c r="J50" i="12"/>
  <c r="B50" i="12" s="1"/>
  <c r="B47" i="4"/>
  <c r="J48" i="4"/>
  <c r="I49" i="4"/>
  <c r="I52" i="12"/>
  <c r="J52" i="12" s="1"/>
  <c r="B52" i="12" s="1"/>
  <c r="J51" i="12"/>
  <c r="B51" i="12" s="1"/>
  <c r="B48" i="4"/>
  <c r="I50" i="4"/>
  <c r="J49" i="4"/>
  <c r="I51" i="4"/>
  <c r="J50" i="4"/>
  <c r="B49" i="4"/>
  <c r="I52" i="4"/>
  <c r="J52" i="4" s="1"/>
  <c r="J51" i="4"/>
  <c r="B51" i="4" s="1"/>
  <c r="B50" i="4"/>
  <c r="B52" i="4"/>
  <c r="E30" i="4"/>
  <c r="F30" i="4" s="1"/>
  <c r="E31" i="4" s="1"/>
  <c r="F31" i="4" s="1"/>
  <c r="E32" i="4" s="1"/>
  <c r="F32" i="4" s="1"/>
  <c r="E33" i="4" s="1"/>
  <c r="F33" i="4" s="1"/>
  <c r="E34" i="4" s="1"/>
  <c r="F34" i="4" s="1"/>
  <c r="E35" i="4" s="1"/>
  <c r="F35" i="4" s="1"/>
  <c r="E36" i="4" s="1"/>
  <c r="F36" i="4" s="1"/>
  <c r="E37" i="4" s="1"/>
  <c r="F37" i="4" s="1"/>
  <c r="E38" i="4" s="1"/>
  <c r="F38" i="4" s="1"/>
  <c r="E39" i="4" s="1"/>
  <c r="F39" i="4" s="1"/>
  <c r="E40" i="4" s="1"/>
  <c r="F40" i="4" s="1"/>
  <c r="E34" i="7"/>
  <c r="F34" i="7" s="1"/>
  <c r="E35" i="7" s="1"/>
  <c r="F35" i="7" s="1"/>
  <c r="E36" i="7" s="1"/>
  <c r="F36" i="7" s="1"/>
  <c r="E37" i="7" s="1"/>
  <c r="F37" i="7" s="1"/>
  <c r="E38" i="7" s="1"/>
  <c r="F38" i="7" s="1"/>
  <c r="E39" i="7" s="1"/>
  <c r="F39" i="7" s="1"/>
  <c r="E40" i="7" s="1"/>
  <c r="F40" i="7" s="1"/>
  <c r="E41" i="7" s="1"/>
  <c r="F41" i="7" s="1"/>
  <c r="E42" i="7" s="1"/>
  <c r="F42" i="7" s="1"/>
  <c r="E43" i="7" s="1"/>
  <c r="F43" i="7" s="1"/>
  <c r="E44" i="7" s="1"/>
  <c r="F44" i="7" s="1"/>
  <c r="E45" i="7" s="1"/>
  <c r="F45" i="7" s="1"/>
  <c r="E46" i="7" s="1"/>
  <c r="F46" i="7" s="1"/>
  <c r="E47" i="7" s="1"/>
  <c r="F47" i="7" s="1"/>
  <c r="E48" i="7" s="1"/>
  <c r="F48" i="7" s="1"/>
  <c r="E49" i="7" s="1"/>
  <c r="F49" i="7" s="1"/>
  <c r="E50" i="7" s="1"/>
  <c r="F50" i="7" s="1"/>
  <c r="E51" i="7" s="1"/>
  <c r="F51" i="7" s="1"/>
  <c r="E52" i="7" s="1"/>
  <c r="E25" i="5"/>
  <c r="F25" i="5" s="1"/>
  <c r="E26" i="2"/>
  <c r="F26" i="2" s="1"/>
  <c r="E29" i="10"/>
  <c r="F29" i="10" s="1"/>
  <c r="E30" i="10" s="1"/>
  <c r="F30" i="10" s="1"/>
  <c r="E31" i="10" s="1"/>
  <c r="F31" i="10" s="1"/>
  <c r="E32" i="10" s="1"/>
  <c r="F32" i="10" s="1"/>
  <c r="E33" i="10" s="1"/>
  <c r="F33" i="10" s="1"/>
  <c r="E34" i="10" s="1"/>
  <c r="F34" i="10" s="1"/>
  <c r="E35" i="10" s="1"/>
  <c r="F35" i="10" s="1"/>
  <c r="E36" i="10" s="1"/>
  <c r="F36" i="10" s="1"/>
  <c r="E37" i="10" s="1"/>
  <c r="F37" i="10" s="1"/>
  <c r="E38" i="10" s="1"/>
  <c r="F38" i="10" s="1"/>
  <c r="E39" i="10" s="1"/>
  <c r="F39" i="10" s="1"/>
  <c r="E40" i="10" s="1"/>
  <c r="F40" i="10" s="1"/>
  <c r="E41" i="10" s="1"/>
  <c r="F41" i="10" s="1"/>
  <c r="E42" i="10" s="1"/>
  <c r="F42" i="10" s="1"/>
  <c r="E43" i="10" s="1"/>
  <c r="F43" i="10" s="1"/>
  <c r="E44" i="10" s="1"/>
  <c r="F44" i="10" s="1"/>
  <c r="E45" i="10" s="1"/>
  <c r="F45" i="10" s="1"/>
  <c r="E46" i="10" s="1"/>
  <c r="F46" i="10" s="1"/>
  <c r="E47" i="10" s="1"/>
  <c r="F47" i="10" s="1"/>
  <c r="E48" i="10" s="1"/>
  <c r="F48" i="10" s="1"/>
  <c r="E49" i="10" s="1"/>
  <c r="F49" i="10" s="1"/>
  <c r="E50" i="10" s="1"/>
  <c r="F50" i="10" s="1"/>
  <c r="E51" i="10" s="1"/>
  <c r="F51" i="10" s="1"/>
  <c r="E52" i="10" s="1"/>
  <c r="E26" i="1"/>
  <c r="F26" i="1" s="1"/>
  <c r="E26" i="6"/>
  <c r="F26" i="6" s="1"/>
  <c r="E35" i="9"/>
  <c r="F35" i="9" s="1"/>
  <c r="E36" i="9" s="1"/>
  <c r="F36" i="9" s="1"/>
  <c r="E37" i="9" s="1"/>
  <c r="F37" i="9" s="1"/>
  <c r="E38" i="9" s="1"/>
  <c r="F38" i="9" s="1"/>
  <c r="E39" i="9" s="1"/>
  <c r="F39" i="9" s="1"/>
  <c r="E40" i="9" s="1"/>
  <c r="F40" i="9" s="1"/>
  <c r="E41" i="9" s="1"/>
  <c r="F41" i="9" s="1"/>
  <c r="E42" i="9" s="1"/>
  <c r="F42" i="9" s="1"/>
  <c r="E43" i="9" s="1"/>
  <c r="F43" i="9" s="1"/>
  <c r="E44" i="9" s="1"/>
  <c r="F44" i="9" s="1"/>
  <c r="E45" i="9" s="1"/>
  <c r="F45" i="9" s="1"/>
  <c r="E46" i="9" s="1"/>
  <c r="F46" i="9" s="1"/>
  <c r="E47" i="9" s="1"/>
  <c r="F47" i="9" s="1"/>
  <c r="E48" i="9" s="1"/>
  <c r="F48" i="9" s="1"/>
  <c r="E49" i="9" s="1"/>
  <c r="F49" i="9" s="1"/>
  <c r="E50" i="9" s="1"/>
  <c r="F50" i="9" s="1"/>
  <c r="E51" i="9" s="1"/>
  <c r="F51" i="9" s="1"/>
  <c r="E52" i="9" s="1"/>
  <c r="E25" i="8"/>
  <c r="F25" i="8" s="1"/>
  <c r="E26" i="8" s="1"/>
  <c r="F26" i="8" s="1"/>
  <c r="E29" i="3"/>
  <c r="F29" i="3" s="1"/>
  <c r="E30" i="3" s="1"/>
  <c r="F30" i="3" s="1"/>
  <c r="E31" i="3" s="1"/>
  <c r="F31" i="3" s="1"/>
  <c r="E32" i="3" s="1"/>
  <c r="F32" i="3" s="1"/>
  <c r="E33" i="3" s="1"/>
  <c r="F33" i="3" s="1"/>
  <c r="E34" i="3" s="1"/>
  <c r="F34" i="3" s="1"/>
  <c r="E35" i="3" s="1"/>
  <c r="F35" i="3" s="1"/>
  <c r="E36" i="3" s="1"/>
  <c r="F36" i="3" s="1"/>
  <c r="E37" i="3" s="1"/>
  <c r="F37" i="3" s="1"/>
  <c r="E38" i="3" s="1"/>
  <c r="F38" i="3" s="1"/>
  <c r="E39" i="3" s="1"/>
  <c r="F39" i="3" s="1"/>
  <c r="E40" i="3" s="1"/>
  <c r="F40" i="3" s="1"/>
  <c r="E41" i="3" s="1"/>
  <c r="F41" i="3" s="1"/>
  <c r="E42" i="3" s="1"/>
  <c r="F42" i="3" s="1"/>
  <c r="E43" i="3" s="1"/>
  <c r="F43" i="3" s="1"/>
  <c r="E44" i="3" s="1"/>
  <c r="F44" i="3" s="1"/>
  <c r="E45" i="3" s="1"/>
  <c r="F45" i="3" s="1"/>
  <c r="E46" i="3" s="1"/>
  <c r="F46" i="3" s="1"/>
  <c r="E47" i="3" s="1"/>
  <c r="F47" i="3" s="1"/>
  <c r="E48" i="3" s="1"/>
  <c r="F48" i="3" s="1"/>
  <c r="E49" i="3" s="1"/>
  <c r="F49" i="3" s="1"/>
  <c r="E50" i="3" s="1"/>
  <c r="F50" i="3" s="1"/>
  <c r="E51" i="3" s="1"/>
  <c r="F51" i="3" s="1"/>
  <c r="E52" i="3" s="1"/>
  <c r="E26" i="11"/>
  <c r="F26" i="11" s="1"/>
  <c r="E27" i="11" s="1"/>
  <c r="F27" i="11" s="1"/>
  <c r="E28" i="11" s="1"/>
  <c r="F28" i="11" s="1"/>
  <c r="E26" i="12"/>
  <c r="F26" i="12" s="1"/>
  <c r="F52" i="7"/>
  <c r="F52" i="10"/>
  <c r="F52" i="9"/>
  <c r="F52" i="3"/>
  <c r="F53" i="3" l="1"/>
  <c r="F53" i="9"/>
  <c r="F53" i="10"/>
  <c r="F53" i="7"/>
  <c r="E53" i="3"/>
  <c r="E53" i="9"/>
  <c r="E53" i="10"/>
  <c r="E53" i="7"/>
  <c r="E27" i="6"/>
  <c r="F27" i="6" s="1"/>
  <c r="E27" i="1"/>
  <c r="F27" i="1" s="1"/>
  <c r="E27" i="12"/>
  <c r="F27" i="12" s="1"/>
  <c r="E29" i="11"/>
  <c r="F29" i="11" s="1"/>
  <c r="E30" i="11" s="1"/>
  <c r="F30" i="11" s="1"/>
  <c r="E31" i="11" s="1"/>
  <c r="F31" i="11" s="1"/>
  <c r="E32" i="11" s="1"/>
  <c r="F32" i="11" s="1"/>
  <c r="E33" i="11" s="1"/>
  <c r="F33" i="11" s="1"/>
  <c r="E34" i="11" s="1"/>
  <c r="F34" i="11" s="1"/>
  <c r="E35" i="11" s="1"/>
  <c r="F35" i="11" s="1"/>
  <c r="E36" i="11" s="1"/>
  <c r="F36" i="11" s="1"/>
  <c r="E37" i="11" s="1"/>
  <c r="F37" i="11" s="1"/>
  <c r="E38" i="11" s="1"/>
  <c r="F38" i="11" s="1"/>
  <c r="E39" i="11" s="1"/>
  <c r="F39" i="11" s="1"/>
  <c r="E40" i="11" s="1"/>
  <c r="F40" i="11" s="1"/>
  <c r="E41" i="11" s="1"/>
  <c r="F41" i="11" s="1"/>
  <c r="E42" i="11" s="1"/>
  <c r="F42" i="11" s="1"/>
  <c r="E43" i="11" s="1"/>
  <c r="F43" i="11" s="1"/>
  <c r="E44" i="11" s="1"/>
  <c r="F44" i="11" s="1"/>
  <c r="E26" i="5"/>
  <c r="F26" i="5" s="1"/>
  <c r="E27" i="8"/>
  <c r="F27" i="8" s="1"/>
  <c r="E28" i="8" s="1"/>
  <c r="F28" i="8" s="1"/>
  <c r="E27" i="2"/>
  <c r="F27" i="2" s="1"/>
  <c r="E41" i="4"/>
  <c r="F41" i="4" s="1"/>
  <c r="E42" i="4" s="1"/>
  <c r="F42" i="4" s="1"/>
  <c r="E43" i="4" s="1"/>
  <c r="F43" i="4" s="1"/>
  <c r="E44" i="4" s="1"/>
  <c r="F44" i="4" s="1"/>
  <c r="E45" i="4" s="1"/>
  <c r="F45" i="4" s="1"/>
  <c r="E46" i="4" s="1"/>
  <c r="F46" i="4" s="1"/>
  <c r="E47" i="4" s="1"/>
  <c r="F47" i="4" s="1"/>
  <c r="E48" i="4" s="1"/>
  <c r="F48" i="4" s="1"/>
  <c r="E49" i="4" s="1"/>
  <c r="F49" i="4" s="1"/>
  <c r="E50" i="4" s="1"/>
  <c r="F50" i="4" s="1"/>
  <c r="E51" i="4"/>
  <c r="F51" i="4" s="1"/>
  <c r="E52" i="4" s="1"/>
  <c r="E29" i="8"/>
  <c r="F29" i="8" s="1"/>
  <c r="E30" i="8" s="1"/>
  <c r="F30" i="8" s="1"/>
  <c r="E31" i="8" s="1"/>
  <c r="F31" i="8" s="1"/>
  <c r="E32" i="8" s="1"/>
  <c r="F32" i="8" s="1"/>
  <c r="E33" i="8" s="1"/>
  <c r="F33" i="8" s="1"/>
  <c r="E34" i="8" s="1"/>
  <c r="F34" i="8" s="1"/>
  <c r="E35" i="8" s="1"/>
  <c r="F35" i="8" s="1"/>
  <c r="E36" i="8" s="1"/>
  <c r="F36" i="8" s="1"/>
  <c r="E37" i="8" s="1"/>
  <c r="F37" i="8" s="1"/>
  <c r="E38" i="8" s="1"/>
  <c r="F38" i="8" s="1"/>
  <c r="E27" i="5"/>
  <c r="F27" i="5" s="1"/>
  <c r="E45" i="11"/>
  <c r="F45" i="11" s="1"/>
  <c r="E46" i="11" s="1"/>
  <c r="F46" i="11" s="1"/>
  <c r="E47" i="11" s="1"/>
  <c r="F47" i="11" s="1"/>
  <c r="E48" i="11" s="1"/>
  <c r="F48" i="11" s="1"/>
  <c r="E49" i="11" s="1"/>
  <c r="F49" i="11" s="1"/>
  <c r="E50" i="11" s="1"/>
  <c r="F50" i="11" s="1"/>
  <c r="E51" i="11" s="1"/>
  <c r="F51" i="11" s="1"/>
  <c r="E52" i="11" s="1"/>
  <c r="E28" i="6"/>
  <c r="F28" i="6" s="1"/>
  <c r="E28" i="2"/>
  <c r="F28" i="2" s="1"/>
  <c r="E28" i="12"/>
  <c r="F28" i="12" s="1"/>
  <c r="E28" i="1"/>
  <c r="F28" i="1" s="1"/>
  <c r="F52" i="4"/>
  <c r="F52" i="11"/>
  <c r="F53" i="11" l="1"/>
  <c r="F53" i="4"/>
  <c r="E53" i="11"/>
  <c r="E53" i="4"/>
  <c r="E39" i="8"/>
  <c r="F39" i="8" s="1"/>
  <c r="E40" i="8" s="1"/>
  <c r="F40" i="8" s="1"/>
  <c r="E41" i="8" s="1"/>
  <c r="F41" i="8" s="1"/>
  <c r="E42" i="8" s="1"/>
  <c r="F42" i="8" s="1"/>
  <c r="E43" i="8" s="1"/>
  <c r="F43" i="8" s="1"/>
  <c r="E44" i="8" s="1"/>
  <c r="F44" i="8" s="1"/>
  <c r="E45" i="8" s="1"/>
  <c r="F45" i="8" s="1"/>
  <c r="E46" i="8" s="1"/>
  <c r="F46" i="8" s="1"/>
  <c r="E47" i="8" s="1"/>
  <c r="F47" i="8" s="1"/>
  <c r="E48" i="8" s="1"/>
  <c r="F48" i="8" s="1"/>
  <c r="E49" i="8" s="1"/>
  <c r="F49" i="8" s="1"/>
  <c r="E50" i="8" s="1"/>
  <c r="F50" i="8" s="1"/>
  <c r="E51" i="8" s="1"/>
  <c r="F51" i="8" s="1"/>
  <c r="E52" i="8" s="1"/>
  <c r="E29" i="12"/>
  <c r="F29" i="12" s="1"/>
  <c r="E29" i="2"/>
  <c r="F29" i="2" s="1"/>
  <c r="E28" i="5"/>
  <c r="F28" i="5" s="1"/>
  <c r="E29" i="1"/>
  <c r="F29" i="1" s="1"/>
  <c r="E29" i="6"/>
  <c r="F29" i="6" s="1"/>
  <c r="F52" i="8"/>
  <c r="F53" i="8" l="1"/>
  <c r="E53" i="8"/>
  <c r="E30" i="6"/>
  <c r="F30" i="6" s="1"/>
  <c r="E30" i="1"/>
  <c r="F30" i="1" s="1"/>
  <c r="E30" i="2"/>
  <c r="F30" i="2" s="1"/>
  <c r="E30" i="12"/>
  <c r="F30" i="12" s="1"/>
  <c r="E29" i="5"/>
  <c r="F29" i="5" s="1"/>
  <c r="E30" i="5"/>
  <c r="F30" i="5" s="1"/>
  <c r="E31" i="12"/>
  <c r="F31" i="12" s="1"/>
  <c r="E31" i="2"/>
  <c r="F31" i="2" s="1"/>
  <c r="E31" i="1"/>
  <c r="F31" i="1" s="1"/>
  <c r="E31" i="6"/>
  <c r="F31" i="6" s="1"/>
  <c r="E32" i="6"/>
  <c r="F32" i="6" s="1"/>
  <c r="E32" i="1"/>
  <c r="F32" i="1" s="1"/>
  <c r="E32" i="2"/>
  <c r="F32" i="2" s="1"/>
  <c r="E32" i="12"/>
  <c r="F32" i="12" s="1"/>
  <c r="E31" i="5"/>
  <c r="F31" i="5" s="1"/>
  <c r="E32" i="5" s="1"/>
  <c r="F32" i="5" s="1"/>
  <c r="E33" i="5" s="1"/>
  <c r="F33" i="5" s="1"/>
  <c r="E34" i="5" s="1"/>
  <c r="F34" i="5" s="1"/>
  <c r="E35" i="5" s="1"/>
  <c r="F35" i="5" s="1"/>
  <c r="E36" i="5" s="1"/>
  <c r="F36" i="5" s="1"/>
  <c r="E37" i="5" s="1"/>
  <c r="F37" i="5" s="1"/>
  <c r="E38" i="5" s="1"/>
  <c r="F38" i="5" s="1"/>
  <c r="E39" i="5"/>
  <c r="F39" i="5" s="1"/>
  <c r="E40" i="5" s="1"/>
  <c r="F40" i="5" s="1"/>
  <c r="E41" i="5" s="1"/>
  <c r="F41" i="5" s="1"/>
  <c r="E42" i="5" s="1"/>
  <c r="F42" i="5" s="1"/>
  <c r="E43" i="5" s="1"/>
  <c r="F43" i="5" s="1"/>
  <c r="E44" i="5" s="1"/>
  <c r="F44" i="5" s="1"/>
  <c r="E45" i="5" s="1"/>
  <c r="F45" i="5" s="1"/>
  <c r="E46" i="5" s="1"/>
  <c r="F46" i="5" s="1"/>
  <c r="E47" i="5" s="1"/>
  <c r="F47" i="5" s="1"/>
  <c r="E48" i="5" s="1"/>
  <c r="F48" i="5" s="1"/>
  <c r="E49" i="5" s="1"/>
  <c r="F49" i="5" s="1"/>
  <c r="E33" i="12"/>
  <c r="F33" i="12" s="1"/>
  <c r="E33" i="2"/>
  <c r="F33" i="2" s="1"/>
  <c r="E33" i="1"/>
  <c r="F33" i="1" s="1"/>
  <c r="E34" i="1" s="1"/>
  <c r="F34" i="1" s="1"/>
  <c r="E35" i="1" s="1"/>
  <c r="F35" i="1" s="1"/>
  <c r="E36" i="1" s="1"/>
  <c r="F36" i="1" s="1"/>
  <c r="E37" i="1" s="1"/>
  <c r="F37" i="1" s="1"/>
  <c r="E38" i="1" s="1"/>
  <c r="F38" i="1" s="1"/>
  <c r="E39" i="1" s="1"/>
  <c r="F39" i="1" s="1"/>
  <c r="E40" i="1" s="1"/>
  <c r="F40" i="1" s="1"/>
  <c r="E41" i="1" s="1"/>
  <c r="F41" i="1" s="1"/>
  <c r="E42" i="1" s="1"/>
  <c r="F42" i="1" s="1"/>
  <c r="E43" i="1" s="1"/>
  <c r="F43" i="1" s="1"/>
  <c r="E44" i="1" s="1"/>
  <c r="F44" i="1" s="1"/>
  <c r="E45" i="1" s="1"/>
  <c r="F45" i="1" s="1"/>
  <c r="E46" i="1" s="1"/>
  <c r="F46" i="1" s="1"/>
  <c r="E47" i="1" s="1"/>
  <c r="F47" i="1" s="1"/>
  <c r="E48" i="1" s="1"/>
  <c r="F48" i="1" s="1"/>
  <c r="E49" i="1" s="1"/>
  <c r="F49" i="1" s="1"/>
  <c r="E50" i="1" s="1"/>
  <c r="F50" i="1" s="1"/>
  <c r="E51" i="1" s="1"/>
  <c r="F51" i="1" s="1"/>
  <c r="E52" i="1" s="1"/>
  <c r="E33" i="6"/>
  <c r="F33" i="6" s="1"/>
  <c r="F52" i="1"/>
  <c r="F53" i="1" l="1"/>
  <c r="E53" i="1"/>
  <c r="E34" i="6"/>
  <c r="F34" i="6" s="1"/>
  <c r="E34" i="2"/>
  <c r="F34" i="2" s="1"/>
  <c r="E50" i="5"/>
  <c r="F50" i="5" s="1"/>
  <c r="E51" i="5" s="1"/>
  <c r="F51" i="5" s="1"/>
  <c r="E52" i="5" s="1"/>
  <c r="E34" i="12"/>
  <c r="F34" i="12" s="1"/>
  <c r="F52" i="5"/>
  <c r="F53" i="5" l="1"/>
  <c r="E53" i="5"/>
  <c r="E35" i="12"/>
  <c r="F35" i="12" s="1"/>
  <c r="E35" i="2"/>
  <c r="F35" i="2" s="1"/>
  <c r="E35" i="6"/>
  <c r="F35" i="6" s="1"/>
  <c r="E36" i="6"/>
  <c r="F36" i="6" s="1"/>
  <c r="E36" i="2"/>
  <c r="F36" i="2" s="1"/>
  <c r="E36" i="12"/>
  <c r="F36" i="12" s="1"/>
  <c r="E37" i="12"/>
  <c r="F37" i="12" s="1"/>
  <c r="E37" i="2"/>
  <c r="F37" i="2" s="1"/>
  <c r="E37" i="6"/>
  <c r="F37" i="6" s="1"/>
  <c r="E38" i="6"/>
  <c r="F38" i="6" s="1"/>
  <c r="E38" i="2"/>
  <c r="F38" i="2" s="1"/>
  <c r="E38" i="12"/>
  <c r="F38" i="12" s="1"/>
  <c r="E39" i="12"/>
  <c r="F39" i="12" s="1"/>
  <c r="E39" i="2"/>
  <c r="F39" i="2" s="1"/>
  <c r="E39" i="6"/>
  <c r="F39" i="6" s="1"/>
  <c r="E40" i="6"/>
  <c r="F40" i="6" s="1"/>
  <c r="E40" i="2"/>
  <c r="F40" i="2" s="1"/>
  <c r="E40" i="12"/>
  <c r="F40" i="12" s="1"/>
  <c r="E41" i="12"/>
  <c r="F41" i="12" s="1"/>
  <c r="E41" i="2"/>
  <c r="F41" i="2" s="1"/>
  <c r="E41" i="6"/>
  <c r="F41" i="6" s="1"/>
  <c r="E42" i="6"/>
  <c r="F42" i="6" s="1"/>
  <c r="E42" i="2"/>
  <c r="F42" i="2" s="1"/>
  <c r="E42" i="12"/>
  <c r="F42" i="12" s="1"/>
  <c r="E43" i="12"/>
  <c r="F43" i="12" s="1"/>
  <c r="E43" i="2"/>
  <c r="F43" i="2" s="1"/>
  <c r="E43" i="6"/>
  <c r="F43" i="6" s="1"/>
  <c r="E44" i="6"/>
  <c r="F44" i="6" s="1"/>
  <c r="E44" i="2"/>
  <c r="F44" i="2" s="1"/>
  <c r="E44" i="12"/>
  <c r="F44" i="12" s="1"/>
  <c r="E45" i="12"/>
  <c r="F45" i="12" s="1"/>
  <c r="E45" i="2"/>
  <c r="F45" i="2" s="1"/>
  <c r="E45" i="6"/>
  <c r="F45" i="6" s="1"/>
  <c r="E46" i="6"/>
  <c r="F46" i="6" s="1"/>
  <c r="E46" i="2"/>
  <c r="F46" i="2" s="1"/>
  <c r="E46" i="12"/>
  <c r="F46" i="12" s="1"/>
  <c r="E47" i="12"/>
  <c r="F47" i="12" s="1"/>
  <c r="E47" i="2"/>
  <c r="F47" i="2" s="1"/>
  <c r="E47" i="6"/>
  <c r="F47" i="6" s="1"/>
  <c r="E48" i="6"/>
  <c r="F48" i="6" s="1"/>
  <c r="E48" i="2"/>
  <c r="F48" i="2" s="1"/>
  <c r="E48" i="12"/>
  <c r="F48" i="12" s="1"/>
  <c r="E49" i="12"/>
  <c r="F49" i="12" s="1"/>
  <c r="E49" i="2"/>
  <c r="F49" i="2" s="1"/>
  <c r="E49" i="6"/>
  <c r="F49" i="6" s="1"/>
  <c r="E50" i="6"/>
  <c r="F50" i="6" s="1"/>
  <c r="E50" i="2"/>
  <c r="F50" i="2" s="1"/>
  <c r="E50" i="12"/>
  <c r="F50" i="12" s="1"/>
  <c r="E51" i="12"/>
  <c r="F51" i="12" s="1"/>
  <c r="E51" i="2"/>
  <c r="F51" i="2" s="1"/>
  <c r="E51" i="6"/>
  <c r="F51" i="6" s="1"/>
  <c r="E52" i="6"/>
  <c r="E52" i="2"/>
  <c r="E52" i="12"/>
  <c r="F52" i="6"/>
  <c r="F52" i="2"/>
  <c r="F52" i="12"/>
  <c r="F53" i="12" l="1"/>
  <c r="F53" i="2"/>
  <c r="F53" i="6"/>
  <c r="E53" i="12"/>
  <c r="E53" i="2"/>
  <c r="E53" i="6"/>
</calcChain>
</file>

<file path=xl/sharedStrings.xml><?xml version="1.0" encoding="utf-8"?>
<sst xmlns="http://schemas.openxmlformats.org/spreadsheetml/2006/main" count="338" uniqueCount="54">
  <si>
    <t>PLEASE STOP "REQUEST ACCESS"- Go To "File" -&gt; Make A Copy. I can't give you access, this is just a template.</t>
  </si>
  <si>
    <t>January 2015</t>
  </si>
  <si>
    <t>From</t>
  </si>
  <si>
    <t>To</t>
  </si>
  <si>
    <t>Adjust the FROM date to the first of the month. The last day will be set automatically</t>
  </si>
  <si>
    <t>Income</t>
  </si>
  <si>
    <t>Fixed Expenses</t>
  </si>
  <si>
    <t>Write text here</t>
  </si>
  <si>
    <t>Salary</t>
  </si>
  <si>
    <t>Rent</t>
  </si>
  <si>
    <t>Write monies here</t>
  </si>
  <si>
    <t>Lent from John</t>
  </si>
  <si>
    <t>Internet</t>
  </si>
  <si>
    <t>DON'T MODIFY THESE</t>
  </si>
  <si>
    <t>Bus Card</t>
  </si>
  <si>
    <t>Utilities</t>
  </si>
  <si>
    <t>Money you get this month, including loans and budget carrying over from last month</t>
  </si>
  <si>
    <t>Debts</t>
  </si>
  <si>
    <t>Savings Account</t>
  </si>
  <si>
    <t>Money you HAVE to spend this month. This includes debts you are paying off and money you put into savings</t>
  </si>
  <si>
    <t>Total</t>
  </si>
  <si>
    <t>Budget / Month</t>
  </si>
  <si>
    <t>Budget / Day</t>
  </si>
  <si>
    <t xml:space="preserve">Ignore all of these </t>
  </si>
  <si>
    <t>Date</t>
  </si>
  <si>
    <t>Description</t>
  </si>
  <si>
    <t>Expenses</t>
  </si>
  <si>
    <t>Budget</t>
  </si>
  <si>
    <t>Saldo</t>
  </si>
  <si>
    <t>Date Increment</t>
  </si>
  <si>
    <t>Date in Month</t>
  </si>
  <si>
    <t>Smokes</t>
  </si>
  <si>
    <t>Feburary 2015</t>
  </si>
  <si>
    <t>Food</t>
  </si>
  <si>
    <t>!</t>
  </si>
  <si>
    <t>Can't buy stuff today</t>
  </si>
  <si>
    <t>over budget</t>
  </si>
  <si>
    <t>March 2015</t>
  </si>
  <si>
    <t>Candy</t>
  </si>
  <si>
    <t>New game</t>
  </si>
  <si>
    <t>May 2015</t>
  </si>
  <si>
    <t>June 2015</t>
  </si>
  <si>
    <t>July 2015</t>
  </si>
  <si>
    <t>April 2015</t>
  </si>
  <si>
    <t>August 2015</t>
  </si>
  <si>
    <t>Sept.2015</t>
  </si>
  <si>
    <t>Novem. 2015</t>
  </si>
  <si>
    <t>Dec. 2015</t>
  </si>
  <si>
    <t>October 2015</t>
  </si>
  <si>
    <t>""''Ť</t>
  </si>
  <si>
    <t>Ť</t>
  </si>
  <si>
    <t>text</t>
  </si>
  <si>
    <t>A,4,A</t>
  </si>
  <si>
    <t>[1,2,3]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</si>
</sst>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yyyy&quot;-&quot;mm&quot;-&quot;dd"/>
    <numFmt numFmtId="165" formatCode="&quot;$&quot;#,##0.00"/>
  </numFmts>
  <fonts count="15" x14ac:knownFonts="1">
    <font>
      <sz val="10"/>
      <color rgb="FF000000"/>
      <name val="Arial"/>
    </font>
    <font>
      <sz val="24"/>
      <name val="Arial"/>
    </font>
    <font>
      <sz val="14"/>
      <name val="Arial"/>
    </font>
    <font>
      <b/>
      <sz val="10"/>
      <name val="Arial"/>
    </font>
    <font>
      <sz val="10"/>
      <name val="Arial"/>
    </font>
    <font>
      <sz val="9"/>
      <color rgb="FF222222"/>
      <name val="Arial"/>
    </font>
    <font>
      <b/>
      <sz val="12"/>
      <name val="Arial"/>
    </font>
    <font>
      <sz val="10"/>
      <color rgb="FF999999"/>
      <name val="Arial"/>
    </font>
    <font>
      <b/>
      <sz val="10"/>
      <color rgb="FF000000"/>
      <name val="Arial"/>
    </font>
    <font>
      <sz val="10"/>
      <color rgb="FF000000"/>
      <name val="Arial"/>
    </font>
    <font>
      <sz val="11"/>
      <color rgb="FF999999"/>
      <name val="Arial"/>
    </font>
    <font>
      <sz val="11"/>
      <name val="Arial"/>
    </font>
    <font>
      <b/>
      <sz val="11"/>
      <color rgb="FF000000"/>
      <name val="Arial"/>
    </font>
    <font>
      <b/>
      <sz val="11"/>
      <name val="Arial"/>
    </font>
    <font>
      <b/>
      <sz val="14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F3F3F3"/>
        <bgColor rgb="FFF3F3F3"/>
      </patternFill>
    </fill>
    <fill>
      <patternFill patternType="solid">
        <fgColor rgb="FFFFE599"/>
        <bgColor rgb="FFFFE599"/>
      </patternFill>
    </fill>
    <fill>
      <patternFill patternType="solid">
        <fgColor rgb="FFEFEFEF"/>
        <bgColor rgb="FFEFEFEF"/>
      </patternFill>
    </fill>
  </fills>
  <borders count="1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2" fillId="0" borderId="0" xfId="0" applyFont="1"/>
    <xf numFmtId="49" fontId="2" fillId="2" borderId="0" xfId="0" applyNumberFormat="1" applyFont="1" applyFill="1" applyAlignment="1"/>
    <xf numFmtId="0" fontId="2" fillId="0" borderId="0" xfId="0" applyFont="1" applyAlignment="1">
      <alignment horizontal="right"/>
    </xf>
    <xf numFmtId="164" fontId="2" fillId="2" borderId="0" xfId="0" applyNumberFormat="1" applyFont="1" applyFill="1" applyAlignment="1"/>
    <xf numFmtId="164" fontId="2" fillId="3" borderId="0" xfId="0" applyNumberFormat="1" applyFont="1" applyFill="1"/>
    <xf numFmtId="0" fontId="2" fillId="0" borderId="0" xfId="0" applyFont="1" applyAlignment="1"/>
    <xf numFmtId="0" fontId="4" fillId="2" borderId="3" xfId="0" applyFont="1" applyFill="1" applyBorder="1" applyAlignment="1"/>
    <xf numFmtId="165" fontId="5" fillId="4" borderId="4" xfId="0" applyNumberFormat="1" applyFont="1" applyFill="1" applyBorder="1" applyAlignment="1">
      <alignment horizontal="right"/>
    </xf>
    <xf numFmtId="165" fontId="4" fillId="4" borderId="4" xfId="0" applyNumberFormat="1" applyFont="1" applyFill="1" applyBorder="1" applyAlignment="1"/>
    <xf numFmtId="0" fontId="4" fillId="2" borderId="3" xfId="0" applyFont="1" applyFill="1" applyBorder="1"/>
    <xf numFmtId="165" fontId="4" fillId="4" borderId="4" xfId="0" applyNumberFormat="1" applyFont="1" applyFill="1" applyBorder="1"/>
    <xf numFmtId="0" fontId="3" fillId="3" borderId="1" xfId="0" applyFont="1" applyFill="1" applyBorder="1" applyAlignment="1">
      <alignment horizontal="right"/>
    </xf>
    <xf numFmtId="165" fontId="3" fillId="3" borderId="2" xfId="0" applyNumberFormat="1" applyFont="1" applyFill="1" applyBorder="1"/>
    <xf numFmtId="0" fontId="3" fillId="0" borderId="0" xfId="0" applyFont="1"/>
    <xf numFmtId="0" fontId="6" fillId="3" borderId="12" xfId="0" applyFont="1" applyFill="1" applyBorder="1" applyAlignment="1"/>
    <xf numFmtId="0" fontId="7" fillId="3" borderId="0" xfId="0" applyFont="1" applyFill="1" applyAlignment="1"/>
    <xf numFmtId="164" fontId="4" fillId="5" borderId="8" xfId="0" applyNumberFormat="1" applyFont="1" applyFill="1" applyBorder="1"/>
    <xf numFmtId="49" fontId="4" fillId="2" borderId="0" xfId="0" applyNumberFormat="1" applyFont="1" applyFill="1"/>
    <xf numFmtId="165" fontId="4" fillId="4" borderId="8" xfId="0" applyNumberFormat="1" applyFont="1" applyFill="1" applyBorder="1" applyAlignment="1"/>
    <xf numFmtId="165" fontId="8" fillId="5" borderId="4" xfId="0" applyNumberFormat="1" applyFont="1" applyFill="1" applyBorder="1"/>
    <xf numFmtId="165" fontId="9" fillId="5" borderId="4" xfId="0" applyNumberFormat="1" applyFont="1" applyFill="1" applyBorder="1"/>
    <xf numFmtId="164" fontId="7" fillId="3" borderId="0" xfId="0" applyNumberFormat="1" applyFont="1" applyFill="1"/>
    <xf numFmtId="0" fontId="10" fillId="3" borderId="0" xfId="0" applyFont="1" applyFill="1" applyAlignment="1">
      <alignment horizontal="left"/>
    </xf>
    <xf numFmtId="164" fontId="11" fillId="5" borderId="8" xfId="0" applyNumberFormat="1" applyFont="1" applyFill="1" applyBorder="1"/>
    <xf numFmtId="49" fontId="4" fillId="2" borderId="0" xfId="0" applyNumberFormat="1" applyFont="1" applyFill="1" applyAlignment="1"/>
    <xf numFmtId="165" fontId="12" fillId="5" borderId="4" xfId="0" applyNumberFormat="1" applyFont="1" applyFill="1" applyBorder="1"/>
    <xf numFmtId="165" fontId="13" fillId="5" borderId="4" xfId="0" applyNumberFormat="1" applyFont="1" applyFill="1" applyBorder="1"/>
    <xf numFmtId="0" fontId="3" fillId="0" borderId="0" xfId="0" applyFont="1" applyAlignment="1">
      <alignment horizontal="center"/>
    </xf>
    <xf numFmtId="0" fontId="11" fillId="5" borderId="8" xfId="0" applyFont="1" applyFill="1" applyBorder="1"/>
    <xf numFmtId="0" fontId="11" fillId="5" borderId="9" xfId="0" applyFont="1" applyFill="1" applyBorder="1"/>
    <xf numFmtId="49" fontId="4" fillId="2" borderId="13" xfId="0" applyNumberFormat="1" applyFont="1" applyFill="1" applyBorder="1"/>
    <xf numFmtId="165" fontId="4" fillId="4" borderId="9" xfId="0" applyNumberFormat="1" applyFont="1" applyFill="1" applyBorder="1" applyAlignment="1"/>
    <xf numFmtId="165" fontId="13" fillId="5" borderId="11" xfId="0" applyNumberFormat="1" applyFont="1" applyFill="1" applyBorder="1"/>
    <xf numFmtId="165" fontId="9" fillId="5" borderId="11" xfId="0" applyNumberFormat="1" applyFont="1" applyFill="1" applyBorder="1"/>
    <xf numFmtId="165" fontId="14" fillId="3" borderId="12" xfId="0" applyNumberFormat="1" applyFont="1" applyFill="1" applyBorder="1"/>
    <xf numFmtId="164" fontId="11" fillId="5" borderId="9" xfId="0" applyNumberFormat="1" applyFont="1" applyFill="1" applyBorder="1"/>
    <xf numFmtId="0" fontId="0" fillId="0" borderId="0" xfId="0" applyFont="1" applyAlignment="1"/>
    <xf numFmtId="0" fontId="0" fillId="0" borderId="0" xfId="0" applyFont="1" applyAlignment="1"/>
    <xf numFmtId="6" fontId="0" fillId="0" borderId="0" xfId="0" applyNumberFormat="1" applyFont="1" applyAlignment="1"/>
    <xf numFmtId="14" fontId="0" fillId="0" borderId="0" xfId="0" applyNumberFormat="1" applyFont="1" applyAlignment="1"/>
    <xf numFmtId="0" fontId="3" fillId="0" borderId="0" xfId="0" applyFont="1" applyAlignment="1">
      <alignment horizontal="center"/>
    </xf>
    <xf numFmtId="0" fontId="0" fillId="0" borderId="0" xfId="0" applyFont="1" applyAlignment="1"/>
    <xf numFmtId="165" fontId="1" fillId="3" borderId="0" xfId="0" applyNumberFormat="1" applyFont="1" applyFill="1" applyAlignment="1">
      <alignment horizontal="center" vertical="center"/>
    </xf>
    <xf numFmtId="0" fontId="14" fillId="3" borderId="1" xfId="0" applyFont="1" applyFill="1" applyBorder="1" applyAlignment="1">
      <alignment horizontal="right"/>
    </xf>
    <xf numFmtId="0" fontId="4" fillId="0" borderId="2" xfId="0" applyFont="1" applyBorder="1"/>
    <xf numFmtId="0" fontId="1" fillId="3" borderId="0" xfId="0" applyFont="1" applyFill="1" applyAlignment="1">
      <alignment horizontal="right" vertical="center"/>
    </xf>
    <xf numFmtId="0" fontId="3" fillId="3" borderId="0" xfId="0" applyFont="1" applyFill="1" applyAlignment="1"/>
    <xf numFmtId="0" fontId="4" fillId="3" borderId="1" xfId="0" applyFont="1" applyFill="1" applyBorder="1" applyAlignment="1">
      <alignment horizontal="center"/>
    </xf>
    <xf numFmtId="0" fontId="4" fillId="2" borderId="0" xfId="0" applyFont="1" applyFill="1" applyAlignment="1"/>
    <xf numFmtId="0" fontId="4" fillId="4" borderId="0" xfId="0" applyFont="1" applyFill="1" applyAlignment="1"/>
    <xf numFmtId="0" fontId="1" fillId="0" borderId="0" xfId="0" applyFont="1" applyAlignment="1">
      <alignment wrapText="1"/>
    </xf>
    <xf numFmtId="0" fontId="3" fillId="0" borderId="0" xfId="0" applyFont="1" applyAlignment="1">
      <alignment vertical="center"/>
    </xf>
    <xf numFmtId="0" fontId="4" fillId="3" borderId="0" xfId="0" applyFont="1" applyFill="1" applyAlignment="1"/>
    <xf numFmtId="0" fontId="3" fillId="0" borderId="5" xfId="0" applyFont="1" applyBorder="1" applyAlignment="1">
      <alignment horizontal="right" vertical="top"/>
    </xf>
    <xf numFmtId="0" fontId="4" fillId="0" borderId="8" xfId="0" applyFont="1" applyBorder="1"/>
    <xf numFmtId="0" fontId="4" fillId="0" borderId="9" xfId="0" applyFont="1" applyBorder="1"/>
    <xf numFmtId="0" fontId="4" fillId="0" borderId="6" xfId="0" applyFont="1" applyBorder="1" applyAlignment="1">
      <alignment vertical="top" wrapText="1"/>
    </xf>
    <xf numFmtId="0" fontId="4" fillId="0" borderId="7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10" xfId="0" applyFont="1" applyBorder="1"/>
    <xf numFmtId="0" fontId="4" fillId="0" borderId="11" xfId="0" applyFont="1" applyBorder="1"/>
    <xf numFmtId="49" fontId="4" fillId="0" borderId="6" xfId="0" applyNumberFormat="1" applyFont="1" applyBorder="1" applyAlignment="1">
      <alignment vertical="top" wrapText="1"/>
    </xf>
  </cellXfs>
  <cellStyles count="1">
    <cellStyle name="Normal" xfId="0" builtinId="0"/>
  </cellStyles>
  <dxfs count="24"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38761D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Z53"/>
  <sheetViews>
    <sheetView workbookViewId="0">
      <selection activeCell="K21" sqref="K21"/>
    </sheetView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1" spans="1:26" ht="45.75" customHeight="1" x14ac:dyDescent="0.3">
      <c r="A1" s="37" t="s">
        <v>50</v>
      </c>
      <c r="B1" s="51" t="s">
        <v>0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1:26" ht="18" x14ac:dyDescent="0.2">
      <c r="A2" s="1"/>
      <c r="B2" s="2" t="s">
        <v>1</v>
      </c>
      <c r="C2" s="3" t="s">
        <v>2</v>
      </c>
      <c r="D2" s="4">
        <v>42005</v>
      </c>
      <c r="E2" s="3" t="s">
        <v>3</v>
      </c>
      <c r="F2" s="5">
        <f>EOMONTH(D2,0)</f>
        <v>42035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3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3" x14ac:dyDescent="0.15">
      <c r="B5" s="7" t="s">
        <v>8</v>
      </c>
      <c r="C5" s="8">
        <v>600</v>
      </c>
      <c r="E5" s="7" t="s">
        <v>9</v>
      </c>
      <c r="F5" s="9">
        <v>300</v>
      </c>
      <c r="H5" s="50" t="s">
        <v>10</v>
      </c>
      <c r="I5" s="42"/>
    </row>
    <row r="6" spans="1:26" ht="13" x14ac:dyDescent="0.15">
      <c r="B6" s="7" t="s">
        <v>11</v>
      </c>
      <c r="C6" s="9">
        <v>20</v>
      </c>
      <c r="E6" s="7" t="s">
        <v>12</v>
      </c>
      <c r="F6" s="9">
        <v>30</v>
      </c>
      <c r="H6" s="53" t="s">
        <v>13</v>
      </c>
      <c r="I6" s="42"/>
    </row>
    <row r="7" spans="1:26" ht="13" x14ac:dyDescent="0.15">
      <c r="B7" s="10"/>
      <c r="C7" s="9"/>
      <c r="E7" s="7" t="s">
        <v>14</v>
      </c>
      <c r="F7" s="9">
        <v>50</v>
      </c>
    </row>
    <row r="8" spans="1:26" ht="13" x14ac:dyDescent="0.15">
      <c r="B8" s="10"/>
      <c r="C8" s="11"/>
      <c r="E8" s="7" t="s">
        <v>15</v>
      </c>
      <c r="F8" s="9">
        <v>70</v>
      </c>
      <c r="H8" s="54" t="s">
        <v>5</v>
      </c>
      <c r="I8" s="57" t="s">
        <v>16</v>
      </c>
      <c r="J8" s="58"/>
    </row>
    <row r="9" spans="1:26" ht="13" x14ac:dyDescent="0.15">
      <c r="B9" s="10"/>
      <c r="C9" s="11"/>
      <c r="E9" s="7" t="s">
        <v>17</v>
      </c>
      <c r="F9" s="9">
        <v>50</v>
      </c>
      <c r="H9" s="55"/>
      <c r="I9" s="59"/>
      <c r="J9" s="60"/>
    </row>
    <row r="10" spans="1:26" ht="13" x14ac:dyDescent="0.15">
      <c r="B10" s="10"/>
      <c r="C10" s="11"/>
      <c r="E10" s="7" t="s">
        <v>18</v>
      </c>
      <c r="F10" s="9">
        <v>20</v>
      </c>
      <c r="H10" s="56"/>
      <c r="I10" s="61"/>
      <c r="J10" s="62"/>
    </row>
    <row r="11" spans="1:26" ht="13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3" x14ac:dyDescent="0.15">
      <c r="B12" s="10"/>
      <c r="C12" s="11"/>
      <c r="E12" s="10"/>
      <c r="F12" s="11"/>
      <c r="H12" s="55"/>
      <c r="I12" s="59"/>
      <c r="J12" s="60"/>
    </row>
    <row r="13" spans="1:26" ht="13" x14ac:dyDescent="0.15">
      <c r="B13" s="10"/>
      <c r="C13" s="11"/>
      <c r="E13" s="10"/>
      <c r="F13" s="11"/>
      <c r="H13" s="55"/>
      <c r="I13" s="59"/>
      <c r="J13" s="60"/>
    </row>
    <row r="14" spans="1:26" ht="13" x14ac:dyDescent="0.15">
      <c r="B14" s="12" t="s">
        <v>20</v>
      </c>
      <c r="C14" s="13">
        <f>SUM(C5:C13)</f>
        <v>620</v>
      </c>
      <c r="D14" s="14"/>
      <c r="E14" s="12" t="s">
        <v>20</v>
      </c>
      <c r="F14" s="13">
        <f>SUM(F5:F13)</f>
        <v>520</v>
      </c>
      <c r="H14" s="56"/>
      <c r="I14" s="61"/>
      <c r="J14" s="62"/>
    </row>
    <row r="16" spans="1:26" ht="13" x14ac:dyDescent="0.15">
      <c r="B16" s="46" t="s">
        <v>21</v>
      </c>
      <c r="C16" s="42"/>
      <c r="D16" s="42"/>
      <c r="E16" s="43">
        <f>C14-F14</f>
        <v>100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3" x14ac:dyDescent="0.15">
      <c r="B18" s="46" t="s">
        <v>22</v>
      </c>
      <c r="C18" s="42"/>
      <c r="D18" s="42"/>
      <c r="E18" s="43">
        <f>E16/(DAYS360(D2,F2)+1)</f>
        <v>3.225806451612903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3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4" x14ac:dyDescent="0.15">
      <c r="B22" s="17"/>
      <c r="C22" s="18"/>
      <c r="D22" s="19">
        <v>0</v>
      </c>
      <c r="E22" s="20">
        <f>E18</f>
        <v>3.225806451612903</v>
      </c>
      <c r="F22" s="21">
        <f t="shared" ref="F22:F52" ca="1" si="0">INDIRECT(ADDRESS(ROW(), COLUMN()-1))-INDIRECT(ADDRESS(ROW(), COLUMN()-2))</f>
        <v>3.225806451612903</v>
      </c>
      <c r="I22" s="22">
        <f>D2</f>
        <v>42005</v>
      </c>
      <c r="J22" s="23" t="b">
        <f ca="1">IF(INDIRECT(ADDRESS(ROW(), COLUMN()-1))&lt;=F2, TRUE, FALSE)</f>
        <v>1</v>
      </c>
    </row>
    <row r="23" spans="2:10" ht="14" x14ac:dyDescent="0.15">
      <c r="B23" s="24">
        <f t="shared" ref="B23:B52" ca="1" si="1">IF(INDIRECT(ADDRESS(ROW(), COLUMN()+8)),INDIRECT(ADDRESS(ROW(), COLUMN()+7)), )</f>
        <v>42006</v>
      </c>
      <c r="C23" s="25" t="s">
        <v>31</v>
      </c>
      <c r="D23" s="19">
        <v>5.5</v>
      </c>
      <c r="E23" s="26">
        <f ca="1">IF(INDIRECT(ADDRESS(ROW(), COLUMN()+5)), INDIRECT(ADDRESS(ROW()-1, COLUMN()+1))+E18, INDIRECT(ADDRESS(ROW()-1, COLUMN()+1)))</f>
        <v>6.4516129032258061</v>
      </c>
      <c r="F23" s="21">
        <f t="shared" ca="1" si="0"/>
        <v>0.95161290322580605</v>
      </c>
      <c r="I23" s="22">
        <f t="shared" ref="I23:I52" ca="1" si="2">INDIRECT(ADDRESS(ROW()-1, COLUMN()))+1</f>
        <v>42006</v>
      </c>
      <c r="J23" s="23" t="b">
        <f ca="1">IF(INDIRECT(ADDRESS(ROW(), COLUMN()-1))&lt;=F2, TRUE, FALSE)</f>
        <v>1</v>
      </c>
    </row>
    <row r="24" spans="2:10" ht="14" x14ac:dyDescent="0.15">
      <c r="B24" s="24">
        <f t="shared" ca="1" si="1"/>
        <v>42007</v>
      </c>
      <c r="C24" s="25" t="s">
        <v>33</v>
      </c>
      <c r="D24" s="19">
        <v>25</v>
      </c>
      <c r="E24" s="27">
        <f ca="1">IF(INDIRECT(ADDRESS(ROW(), COLUMN()+5)), INDIRECT(ADDRESS(ROW()-1, COLUMN()+1))+E18, INDIRECT(ADDRESS(ROW()-1, COLUMN()+1)))</f>
        <v>4.1774193548387091</v>
      </c>
      <c r="F24" s="21">
        <f t="shared" ca="1" si="0"/>
        <v>-20.822580645161292</v>
      </c>
      <c r="G24" s="28" t="s">
        <v>34</v>
      </c>
      <c r="I24" s="22">
        <f t="shared" ca="1" si="2"/>
        <v>42007</v>
      </c>
      <c r="J24" s="23" t="b">
        <f ca="1">IF(INDIRECT(ADDRESS(ROW(), COLUMN()-1))&lt;=F2, TRUE, FALSE)</f>
        <v>1</v>
      </c>
    </row>
    <row r="25" spans="2:10" ht="14" x14ac:dyDescent="0.15">
      <c r="B25" s="24">
        <f t="shared" ca="1" si="1"/>
        <v>42008</v>
      </c>
      <c r="C25" s="18"/>
      <c r="D25" s="19">
        <v>0</v>
      </c>
      <c r="E25" s="27">
        <f ca="1">IF(INDIRECT(ADDRESS(ROW(), COLUMN()+5)), INDIRECT(ADDRESS(ROW()-1, COLUMN()+1))+E18, INDIRECT(ADDRESS(ROW()-1, COLUMN()+1)))</f>
        <v>-17.596774193548388</v>
      </c>
      <c r="F25" s="21">
        <f t="shared" ca="1" si="0"/>
        <v>-17.596774193548388</v>
      </c>
      <c r="G25" s="41" t="s">
        <v>34</v>
      </c>
      <c r="I25" s="22">
        <f t="shared" ca="1" si="2"/>
        <v>42008</v>
      </c>
      <c r="J25" s="23" t="b">
        <f ca="1">IF(INDIRECT(ADDRESS(ROW(), COLUMN()-1))&lt;=F2, TRUE, FALSE)</f>
        <v>1</v>
      </c>
    </row>
    <row r="26" spans="2:10" ht="14" x14ac:dyDescent="0.15">
      <c r="B26" s="24">
        <f t="shared" ca="1" si="1"/>
        <v>42009</v>
      </c>
      <c r="C26" s="25" t="s">
        <v>35</v>
      </c>
      <c r="D26" s="19">
        <v>0</v>
      </c>
      <c r="E26" s="27">
        <f ca="1">IF(INDIRECT(ADDRESS(ROW(), COLUMN()+5)), INDIRECT(ADDRESS(ROW()-1, COLUMN()+1))+E18, INDIRECT(ADDRESS(ROW()-1, COLUMN()+1)))</f>
        <v>-14.370967741935484</v>
      </c>
      <c r="F26" s="21">
        <f t="shared" ca="1" si="0"/>
        <v>-14.370967741935484</v>
      </c>
      <c r="G26" s="42"/>
      <c r="I26" s="22">
        <f t="shared" ca="1" si="2"/>
        <v>42009</v>
      </c>
      <c r="J26" s="23" t="b">
        <f ca="1">IF(INDIRECT(ADDRESS(ROW(), COLUMN()-1))&lt;=F2, TRUE, FALSE)</f>
        <v>1</v>
      </c>
    </row>
    <row r="27" spans="2:10" ht="14" x14ac:dyDescent="0.15">
      <c r="B27" s="24">
        <f t="shared" ca="1" si="1"/>
        <v>42010</v>
      </c>
      <c r="C27" s="25" t="s">
        <v>36</v>
      </c>
      <c r="D27" s="19">
        <v>0</v>
      </c>
      <c r="E27" s="27">
        <f ca="1">IF(INDIRECT(ADDRESS(ROW(), COLUMN()+5)), INDIRECT(ADDRESS(ROW()-1, COLUMN()+1))+E18, INDIRECT(ADDRESS(ROW()-1, COLUMN()+1)))</f>
        <v>-11.14516129032258</v>
      </c>
      <c r="F27" s="21">
        <f t="shared" ca="1" si="0"/>
        <v>-11.14516129032258</v>
      </c>
      <c r="G27" s="42"/>
      <c r="I27" s="22">
        <f t="shared" ca="1" si="2"/>
        <v>42010</v>
      </c>
      <c r="J27" s="23" t="b">
        <f ca="1">IF(INDIRECT(ADDRESS(ROW(), COLUMN()-1))&lt;=F2, TRUE, FALSE)</f>
        <v>1</v>
      </c>
    </row>
    <row r="28" spans="2:10" ht="14" x14ac:dyDescent="0.15">
      <c r="B28" s="24">
        <f t="shared" ca="1" si="1"/>
        <v>42011</v>
      </c>
      <c r="C28" s="18"/>
      <c r="D28" s="19">
        <v>0</v>
      </c>
      <c r="E28" s="27">
        <f ca="1">IF(INDIRECT(ADDRESS(ROW(), COLUMN()+5)), INDIRECT(ADDRESS(ROW()-1, COLUMN()+1))+E18, INDIRECT(ADDRESS(ROW()-1, COLUMN()+1)))</f>
        <v>-7.919354838709677</v>
      </c>
      <c r="F28" s="21">
        <f t="shared" ca="1" si="0"/>
        <v>-7.919354838709677</v>
      </c>
      <c r="G28" s="42"/>
      <c r="I28" s="22">
        <f t="shared" ca="1" si="2"/>
        <v>42011</v>
      </c>
      <c r="J28" s="23" t="b">
        <f ca="1">IF(INDIRECT(ADDRESS(ROW(), COLUMN()-1))&lt;=F2, TRUE, FALSE)</f>
        <v>1</v>
      </c>
    </row>
    <row r="29" spans="2:10" ht="14" x14ac:dyDescent="0.15">
      <c r="B29" s="24">
        <f t="shared" ca="1" si="1"/>
        <v>42012</v>
      </c>
      <c r="C29" s="18"/>
      <c r="D29" s="19">
        <v>0</v>
      </c>
      <c r="E29" s="27">
        <f ca="1">IF(INDIRECT(ADDRESS(ROW(), COLUMN()+5)), INDIRECT(ADDRESS(ROW()-1, COLUMN()+1))+E18, INDIRECT(ADDRESS(ROW()-1, COLUMN()+1)))</f>
        <v>-4.693548387096774</v>
      </c>
      <c r="F29" s="21">
        <f t="shared" ca="1" si="0"/>
        <v>-4.693548387096774</v>
      </c>
      <c r="G29" s="42"/>
      <c r="I29" s="22">
        <f t="shared" ca="1" si="2"/>
        <v>42012</v>
      </c>
      <c r="J29" s="23" t="b">
        <f ca="1">IF(INDIRECT(ADDRESS(ROW(), COLUMN()-1))&lt;=F2, TRUE, FALSE)</f>
        <v>1</v>
      </c>
    </row>
    <row r="30" spans="2:10" ht="14" x14ac:dyDescent="0.15">
      <c r="B30" s="24">
        <f t="shared" ca="1" si="1"/>
        <v>42013</v>
      </c>
      <c r="C30" s="18"/>
      <c r="D30" s="19">
        <v>0</v>
      </c>
      <c r="E30" s="27">
        <f ca="1">IF(INDIRECT(ADDRESS(ROW(), COLUMN()+5)), INDIRECT(ADDRESS(ROW()-1, COLUMN()+1))+E18, INDIRECT(ADDRESS(ROW()-1, COLUMN()+1)))</f>
        <v>-1.467741935483871</v>
      </c>
      <c r="F30" s="21">
        <f t="shared" ca="1" si="0"/>
        <v>-1.467741935483871</v>
      </c>
      <c r="G30" s="42"/>
      <c r="I30" s="22">
        <f t="shared" ca="1" si="2"/>
        <v>42013</v>
      </c>
      <c r="J30" s="23" t="b">
        <f ca="1">IF(INDIRECT(ADDRESS(ROW(), COLUMN()-1))&lt;=F2, TRUE, FALSE)</f>
        <v>1</v>
      </c>
    </row>
    <row r="31" spans="2:10" ht="14" x14ac:dyDescent="0.15">
      <c r="B31" s="24">
        <f t="shared" ca="1" si="1"/>
        <v>42014</v>
      </c>
      <c r="C31" s="25" t="s">
        <v>38</v>
      </c>
      <c r="D31" s="19">
        <v>1</v>
      </c>
      <c r="E31" s="27">
        <f ca="1">IF(INDIRECT(ADDRESS(ROW(), COLUMN()+5)), INDIRECT(ADDRESS(ROW()-1, COLUMN()+1))+E18, INDIRECT(ADDRESS(ROW()-1, COLUMN()+1)))</f>
        <v>1.758064516129032</v>
      </c>
      <c r="F31" s="21">
        <f t="shared" ca="1" si="0"/>
        <v>0.75806451612903203</v>
      </c>
      <c r="G31" s="28" t="s">
        <v>34</v>
      </c>
      <c r="I31" s="22">
        <f t="shared" ca="1" si="2"/>
        <v>42014</v>
      </c>
      <c r="J31" s="23" t="b">
        <f ca="1">IF(INDIRECT(ADDRESS(ROW(), COLUMN()-1))&lt;=F2, TRUE, FALSE)</f>
        <v>1</v>
      </c>
    </row>
    <row r="32" spans="2:10" ht="14" x14ac:dyDescent="0.15">
      <c r="B32" s="24">
        <f t="shared" ca="1" si="1"/>
        <v>42015</v>
      </c>
      <c r="C32" s="18"/>
      <c r="D32" s="19">
        <v>0</v>
      </c>
      <c r="E32" s="27">
        <f ca="1">IF(INDIRECT(ADDRESS(ROW(), COLUMN()+5)), INDIRECT(ADDRESS(ROW()-1, COLUMN()+1))+E18, INDIRECT(ADDRESS(ROW()-1, COLUMN()+1)))</f>
        <v>3.9838709677419351</v>
      </c>
      <c r="F32" s="21">
        <f t="shared" ca="1" si="0"/>
        <v>3.9838709677419351</v>
      </c>
      <c r="I32" s="22">
        <f t="shared" ca="1" si="2"/>
        <v>42015</v>
      </c>
      <c r="J32" s="23" t="b">
        <f ca="1">IF(INDIRECT(ADDRESS(ROW(), COLUMN()-1))&lt;=F2, TRUE, FALSE)</f>
        <v>1</v>
      </c>
    </row>
    <row r="33" spans="2:10" ht="14" x14ac:dyDescent="0.15">
      <c r="B33" s="24">
        <f t="shared" ca="1" si="1"/>
        <v>42016</v>
      </c>
      <c r="C33" s="18"/>
      <c r="D33" s="19">
        <v>0</v>
      </c>
      <c r="E33" s="27">
        <f ca="1">IF(INDIRECT(ADDRESS(ROW(), COLUMN()+5)), INDIRECT(ADDRESS(ROW()-1, COLUMN()+1))+E18, INDIRECT(ADDRESS(ROW()-1, COLUMN()+1)))</f>
        <v>7.2096774193548381</v>
      </c>
      <c r="F33" s="21">
        <f t="shared" ca="1" si="0"/>
        <v>7.2096774193548381</v>
      </c>
      <c r="I33" s="22">
        <f t="shared" ca="1" si="2"/>
        <v>42016</v>
      </c>
      <c r="J33" s="23" t="b">
        <f ca="1">IF(INDIRECT(ADDRESS(ROW(), COLUMN()-1))&lt;=F2, TRUE, FALSE)</f>
        <v>1</v>
      </c>
    </row>
    <row r="34" spans="2:10" ht="14" x14ac:dyDescent="0.15">
      <c r="B34" s="24">
        <f t="shared" ca="1" si="1"/>
        <v>42017</v>
      </c>
      <c r="C34" s="18"/>
      <c r="D34" s="19">
        <v>0</v>
      </c>
      <c r="E34" s="27">
        <f ca="1">IF(INDIRECT(ADDRESS(ROW(), COLUMN()+5)), INDIRECT(ADDRESS(ROW()-1, COLUMN()+1))+E18, INDIRECT(ADDRESS(ROW()-1, COLUMN()+1)))</f>
        <v>10.43548387096774</v>
      </c>
      <c r="F34" s="21">
        <f t="shared" ca="1" si="0"/>
        <v>10.43548387096774</v>
      </c>
      <c r="I34" s="22">
        <f t="shared" ca="1" si="2"/>
        <v>42017</v>
      </c>
      <c r="J34" s="23" t="b">
        <f ca="1">IF(INDIRECT(ADDRESS(ROW(), COLUMN()-1))&lt;=F2, TRUE, FALSE)</f>
        <v>1</v>
      </c>
    </row>
    <row r="35" spans="2:10" ht="14" x14ac:dyDescent="0.15">
      <c r="B35" s="24">
        <f t="shared" ca="1" si="1"/>
        <v>42018</v>
      </c>
      <c r="C35" s="18"/>
      <c r="D35" s="19">
        <v>0</v>
      </c>
      <c r="E35" s="27">
        <f ca="1">IF(INDIRECT(ADDRESS(ROW(), COLUMN()+5)), INDIRECT(ADDRESS(ROW()-1, COLUMN()+1))+E18, INDIRECT(ADDRESS(ROW()-1, COLUMN()+1)))</f>
        <v>13.661290322580644</v>
      </c>
      <c r="F35" s="21">
        <f t="shared" ca="1" si="0"/>
        <v>13.661290322580644</v>
      </c>
      <c r="I35" s="22">
        <f t="shared" ca="1" si="2"/>
        <v>42018</v>
      </c>
      <c r="J35" s="23" t="b">
        <f ca="1">IF(INDIRECT(ADDRESS(ROW(), COLUMN()-1))&lt;=F2, TRUE, FALSE)</f>
        <v>1</v>
      </c>
    </row>
    <row r="36" spans="2:10" ht="14" x14ac:dyDescent="0.15">
      <c r="B36" s="24">
        <f t="shared" ca="1" si="1"/>
        <v>42019</v>
      </c>
      <c r="C36" s="18"/>
      <c r="D36" s="19">
        <v>0</v>
      </c>
      <c r="E36" s="27">
        <f ca="1">IF(INDIRECT(ADDRESS(ROW(), COLUMN()+5)), INDIRECT(ADDRESS(ROW()-1, COLUMN()+1))+E18, INDIRECT(ADDRESS(ROW()-1, COLUMN()+1)))</f>
        <v>16.887096774193548</v>
      </c>
      <c r="F36" s="21">
        <f t="shared" ca="1" si="0"/>
        <v>16.887096774193548</v>
      </c>
      <c r="I36" s="22">
        <f t="shared" ca="1" si="2"/>
        <v>42019</v>
      </c>
      <c r="J36" s="23" t="b">
        <f ca="1">IF(INDIRECT(ADDRESS(ROW(), COLUMN()-1))&lt;=F2, TRUE, FALSE)</f>
        <v>1</v>
      </c>
    </row>
    <row r="37" spans="2:10" ht="14" x14ac:dyDescent="0.15">
      <c r="B37" s="24">
        <f t="shared" ca="1" si="1"/>
        <v>42020</v>
      </c>
      <c r="C37" s="25" t="s">
        <v>31</v>
      </c>
      <c r="D37" s="19">
        <v>5.5</v>
      </c>
      <c r="E37" s="27">
        <f ca="1">IF(INDIRECT(ADDRESS(ROW(), COLUMN()+5)), INDIRECT(ADDRESS(ROW()-1, COLUMN()+1))+E18, INDIRECT(ADDRESS(ROW()-1, COLUMN()+1)))</f>
        <v>20.112903225806452</v>
      </c>
      <c r="F37" s="21">
        <f t="shared" ca="1" si="0"/>
        <v>14.612903225806452</v>
      </c>
      <c r="I37" s="22">
        <f t="shared" ca="1" si="2"/>
        <v>42020</v>
      </c>
      <c r="J37" s="23" t="b">
        <f ca="1">IF(INDIRECT(ADDRESS(ROW(), COLUMN()-1))&lt;=F2, TRUE, FALSE)</f>
        <v>1</v>
      </c>
    </row>
    <row r="38" spans="2:10" ht="14" x14ac:dyDescent="0.15">
      <c r="B38" s="24">
        <f t="shared" ca="1" si="1"/>
        <v>42021</v>
      </c>
      <c r="C38" s="18"/>
      <c r="D38" s="19">
        <v>0</v>
      </c>
      <c r="E38" s="27">
        <f ca="1">IF(INDIRECT(ADDRESS(ROW(), COLUMN()+5)), INDIRECT(ADDRESS(ROW()-1, COLUMN()+1))+E18, INDIRECT(ADDRESS(ROW()-1, COLUMN()+1)))</f>
        <v>17.838709677419356</v>
      </c>
      <c r="F38" s="21">
        <f t="shared" ca="1" si="0"/>
        <v>17.838709677419356</v>
      </c>
      <c r="I38" s="22">
        <f t="shared" ca="1" si="2"/>
        <v>42021</v>
      </c>
      <c r="J38" s="23" t="b">
        <f ca="1">IF(INDIRECT(ADDRESS(ROW(), COLUMN()-1))&lt;=F2, TRUE, FALSE)</f>
        <v>1</v>
      </c>
    </row>
    <row r="39" spans="2:10" ht="14" x14ac:dyDescent="0.15">
      <c r="B39" s="24">
        <f t="shared" ca="1" si="1"/>
        <v>42022</v>
      </c>
      <c r="C39" s="18"/>
      <c r="D39" s="19">
        <v>0</v>
      </c>
      <c r="E39" s="27">
        <f ca="1">IF(INDIRECT(ADDRESS(ROW(), COLUMN()+5)), INDIRECT(ADDRESS(ROW()-1, COLUMN()+1))+E18, INDIRECT(ADDRESS(ROW()-1, COLUMN()+1)))</f>
        <v>21.06451612903226</v>
      </c>
      <c r="F39" s="21">
        <f t="shared" ca="1" si="0"/>
        <v>21.06451612903226</v>
      </c>
      <c r="I39" s="22">
        <f t="shared" ca="1" si="2"/>
        <v>42022</v>
      </c>
      <c r="J39" s="23" t="b">
        <f ca="1">IF(INDIRECT(ADDRESS(ROW(), COLUMN()-1))&lt;=F2, TRUE, FALSE)</f>
        <v>1</v>
      </c>
    </row>
    <row r="40" spans="2:10" ht="14" x14ac:dyDescent="0.15">
      <c r="B40" s="24">
        <f t="shared" ca="1" si="1"/>
        <v>42023</v>
      </c>
      <c r="C40" s="18"/>
      <c r="D40" s="19">
        <v>0</v>
      </c>
      <c r="E40" s="27">
        <f ca="1">IF(INDIRECT(ADDRESS(ROW(), COLUMN()+5)), INDIRECT(ADDRESS(ROW()-1, COLUMN()+1))+E18, INDIRECT(ADDRESS(ROW()-1, COLUMN()+1)))</f>
        <v>24.290322580645164</v>
      </c>
      <c r="F40" s="21">
        <f t="shared" ca="1" si="0"/>
        <v>24.290322580645164</v>
      </c>
      <c r="I40" s="22">
        <f t="shared" ca="1" si="2"/>
        <v>42023</v>
      </c>
      <c r="J40" s="23" t="b">
        <f ca="1">IF(INDIRECT(ADDRESS(ROW(), COLUMN()-1))&lt;=F2, TRUE, FALSE)</f>
        <v>1</v>
      </c>
    </row>
    <row r="41" spans="2:10" ht="14" x14ac:dyDescent="0.15">
      <c r="B41" s="24">
        <f t="shared" ca="1" si="1"/>
        <v>42024</v>
      </c>
      <c r="C41" s="18"/>
      <c r="D41" s="19">
        <v>0</v>
      </c>
      <c r="E41" s="27">
        <f ca="1">IF(INDIRECT(ADDRESS(ROW(), COLUMN()+5)), INDIRECT(ADDRESS(ROW()-1, COLUMN()+1))+E18, INDIRECT(ADDRESS(ROW()-1, COLUMN()+1)))</f>
        <v>27.516129032258068</v>
      </c>
      <c r="F41" s="21">
        <f t="shared" ca="1" si="0"/>
        <v>27.516129032258068</v>
      </c>
      <c r="I41" s="22">
        <f t="shared" ca="1" si="2"/>
        <v>42024</v>
      </c>
      <c r="J41" s="23" t="b">
        <f ca="1">IF(INDIRECT(ADDRESS(ROW(), COLUMN()-1))&lt;=F2, TRUE, FALSE)</f>
        <v>1</v>
      </c>
    </row>
    <row r="42" spans="2:10" ht="14" x14ac:dyDescent="0.15">
      <c r="B42" s="24">
        <f t="shared" ca="1" si="1"/>
        <v>42025</v>
      </c>
      <c r="C42" s="18"/>
      <c r="D42" s="19">
        <v>0</v>
      </c>
      <c r="E42" s="27">
        <f ca="1">IF(INDIRECT(ADDRESS(ROW(), COLUMN()+5)), INDIRECT(ADDRESS(ROW()-1, COLUMN()+1))+E18, INDIRECT(ADDRESS(ROW()-1, COLUMN()+1)))</f>
        <v>30.741935483870972</v>
      </c>
      <c r="F42" s="21">
        <f t="shared" ca="1" si="0"/>
        <v>30.741935483870972</v>
      </c>
      <c r="I42" s="22">
        <f t="shared" ca="1" si="2"/>
        <v>42025</v>
      </c>
      <c r="J42" s="23" t="b">
        <f ca="1">IF(INDIRECT(ADDRESS(ROW(), COLUMN()-1))&lt;=F2, TRUE, FALSE)</f>
        <v>1</v>
      </c>
    </row>
    <row r="43" spans="2:10" ht="14" x14ac:dyDescent="0.15">
      <c r="B43" s="24">
        <f t="shared" ca="1" si="1"/>
        <v>42026</v>
      </c>
      <c r="C43" s="18"/>
      <c r="D43" s="19">
        <v>0</v>
      </c>
      <c r="E43" s="27">
        <f ca="1">IF(INDIRECT(ADDRESS(ROW(), COLUMN()+5)), INDIRECT(ADDRESS(ROW()-1, COLUMN()+1))+E18, INDIRECT(ADDRESS(ROW()-1, COLUMN()+1)))</f>
        <v>33.967741935483872</v>
      </c>
      <c r="F43" s="21">
        <f t="shared" ca="1" si="0"/>
        <v>33.967741935483872</v>
      </c>
      <c r="I43" s="22">
        <f t="shared" ca="1" si="2"/>
        <v>42026</v>
      </c>
      <c r="J43" s="23" t="b">
        <f ca="1">IF(INDIRECT(ADDRESS(ROW(), COLUMN()-1))&lt;=F2, TRUE, FALSE)</f>
        <v>1</v>
      </c>
    </row>
    <row r="44" spans="2:10" ht="14" x14ac:dyDescent="0.15">
      <c r="B44" s="24">
        <f t="shared" ca="1" si="1"/>
        <v>42027</v>
      </c>
      <c r="C44" s="18"/>
      <c r="D44" s="19">
        <v>0</v>
      </c>
      <c r="E44" s="27">
        <f ca="1">IF(INDIRECT(ADDRESS(ROW(), COLUMN()+5)), INDIRECT(ADDRESS(ROW()-1, COLUMN()+1))+E18, INDIRECT(ADDRESS(ROW()-1, COLUMN()+1)))</f>
        <v>37.193548387096776</v>
      </c>
      <c r="F44" s="21">
        <f t="shared" ca="1" si="0"/>
        <v>37.193548387096776</v>
      </c>
      <c r="I44" s="22">
        <f t="shared" ca="1" si="2"/>
        <v>42027</v>
      </c>
      <c r="J44" s="23" t="b">
        <f ca="1">IF(INDIRECT(ADDRESS(ROW(), COLUMN()-1))&lt;=F2, TRUE, FALSE)</f>
        <v>1</v>
      </c>
    </row>
    <row r="45" spans="2:10" ht="14" x14ac:dyDescent="0.15">
      <c r="B45" s="24">
        <f t="shared" ca="1" si="1"/>
        <v>42028</v>
      </c>
      <c r="C45" s="18"/>
      <c r="D45" s="19">
        <v>0</v>
      </c>
      <c r="E45" s="27">
        <f ca="1">IF(INDIRECT(ADDRESS(ROW(), COLUMN()+5)), INDIRECT(ADDRESS(ROW()-1, COLUMN()+1))+E18, INDIRECT(ADDRESS(ROW()-1, COLUMN()+1)))</f>
        <v>40.41935483870968</v>
      </c>
      <c r="F45" s="21">
        <f t="shared" ca="1" si="0"/>
        <v>40.41935483870968</v>
      </c>
      <c r="I45" s="22">
        <f t="shared" ca="1" si="2"/>
        <v>42028</v>
      </c>
      <c r="J45" s="23" t="b">
        <f ca="1">IF(INDIRECT(ADDRESS(ROW(), COLUMN()-1))&lt;=F2, TRUE, FALSE)</f>
        <v>1</v>
      </c>
    </row>
    <row r="46" spans="2:10" ht="14" x14ac:dyDescent="0.15">
      <c r="B46" s="24">
        <f t="shared" ca="1" si="1"/>
        <v>42029</v>
      </c>
      <c r="C46" s="25" t="s">
        <v>39</v>
      </c>
      <c r="D46" s="19">
        <v>49</v>
      </c>
      <c r="E46" s="27">
        <f ca="1">IF(INDIRECT(ADDRESS(ROW(), COLUMN()+5)), INDIRECT(ADDRESS(ROW()-1, COLUMN()+1))+E18, INDIRECT(ADDRESS(ROW()-1, COLUMN()+1)))</f>
        <v>43.645161290322584</v>
      </c>
      <c r="F46" s="21">
        <f t="shared" ca="1" si="0"/>
        <v>-5.3548387096774164</v>
      </c>
      <c r="G46" s="28" t="s">
        <v>34</v>
      </c>
      <c r="I46" s="22">
        <f t="shared" ca="1" si="2"/>
        <v>42029</v>
      </c>
      <c r="J46" s="23" t="b">
        <f ca="1">IF(INDIRECT(ADDRESS(ROW(), COLUMN()-1))&lt;=F2, TRUE, FALSE)</f>
        <v>1</v>
      </c>
    </row>
    <row r="47" spans="2:10" ht="14" x14ac:dyDescent="0.15">
      <c r="B47" s="24">
        <f t="shared" ca="1" si="1"/>
        <v>42030</v>
      </c>
      <c r="C47" s="18"/>
      <c r="D47" s="19">
        <v>0</v>
      </c>
      <c r="E47" s="27">
        <f ca="1">IF(INDIRECT(ADDRESS(ROW(), COLUMN()+5)), INDIRECT(ADDRESS(ROW()-1, COLUMN()+1))+E18, INDIRECT(ADDRESS(ROW()-1, COLUMN()+1)))</f>
        <v>-2.1290322580645133</v>
      </c>
      <c r="F47" s="21">
        <f t="shared" ca="1" si="0"/>
        <v>-2.1290322580645133</v>
      </c>
      <c r="I47" s="22">
        <f t="shared" ca="1" si="2"/>
        <v>42030</v>
      </c>
      <c r="J47" s="23" t="b">
        <f ca="1">IF(INDIRECT(ADDRESS(ROW(), COLUMN()-1))&lt;=F2, TRUE, FALSE)</f>
        <v>1</v>
      </c>
    </row>
    <row r="48" spans="2:10" ht="14" x14ac:dyDescent="0.15">
      <c r="B48" s="24">
        <f t="shared" ca="1" si="1"/>
        <v>42031</v>
      </c>
      <c r="C48" s="18"/>
      <c r="D48" s="19">
        <v>0</v>
      </c>
      <c r="E48" s="27">
        <f ca="1">IF(INDIRECT(ADDRESS(ROW(), COLUMN()+5)), INDIRECT(ADDRESS(ROW()-1, COLUMN()+1))+E18, INDIRECT(ADDRESS(ROW()-1, COLUMN()+1)))</f>
        <v>1.0967741935483897</v>
      </c>
      <c r="F48" s="21">
        <f t="shared" ca="1" si="0"/>
        <v>1.0967741935483897</v>
      </c>
      <c r="I48" s="22">
        <f t="shared" ca="1" si="2"/>
        <v>42031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1"/>
        <v>42032</v>
      </c>
      <c r="C49" s="18"/>
      <c r="D49" s="19">
        <v>0</v>
      </c>
      <c r="E49" s="27">
        <f ca="1">IF(INDIRECT(ADDRESS(ROW(), COLUMN()+5)), INDIRECT(ADDRESS(ROW()-1, COLUMN()+1))+E18, INDIRECT(ADDRESS(ROW()-1, COLUMN()+1)))</f>
        <v>4.3225806451612927</v>
      </c>
      <c r="F49" s="21">
        <f t="shared" ca="1" si="0"/>
        <v>4.3225806451612927</v>
      </c>
      <c r="I49" s="22">
        <f t="shared" ca="1" si="2"/>
        <v>42032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1"/>
        <v>42033</v>
      </c>
      <c r="C50" s="25" t="s">
        <v>33</v>
      </c>
      <c r="D50" s="19">
        <v>10</v>
      </c>
      <c r="E50" s="27">
        <f ca="1">IF(INDIRECT(ADDRESS(ROW(), COLUMN()+5)), INDIRECT(ADDRESS(ROW()-1, COLUMN()+1))+E18, INDIRECT(ADDRESS(ROW()-1, COLUMN()+1)))</f>
        <v>7.5483870967741957</v>
      </c>
      <c r="F50" s="21">
        <f t="shared" ca="1" si="0"/>
        <v>-2.4516129032258043</v>
      </c>
      <c r="I50" s="22">
        <f t="shared" ca="1" si="2"/>
        <v>42033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1"/>
        <v>42034</v>
      </c>
      <c r="C51" s="18"/>
      <c r="D51" s="19">
        <v>0</v>
      </c>
      <c r="E51" s="27">
        <f ca="1">IF(INDIRECT(ADDRESS(ROW(), COLUMN()+5)), INDIRECT(ADDRESS(ROW()-1, COLUMN()+1))+E18, INDIRECT(ADDRESS(ROW()-1, COLUMN()+1)))</f>
        <v>0.77419354838709875</v>
      </c>
      <c r="F51" s="21">
        <f t="shared" ca="1" si="0"/>
        <v>0.77419354838709875</v>
      </c>
      <c r="I51" s="22">
        <f t="shared" ca="1" si="2"/>
        <v>42034</v>
      </c>
      <c r="J51" s="23" t="b">
        <f ca="1">IF(INDIRECT(ADDRESS(ROW(), COLUMN()-1))&lt;=F2, TRUE, FALSE)</f>
        <v>1</v>
      </c>
    </row>
    <row r="52" spans="2:10" ht="14" x14ac:dyDescent="0.15">
      <c r="B52" s="36">
        <f t="shared" ca="1" si="1"/>
        <v>42035</v>
      </c>
      <c r="C52" s="31"/>
      <c r="D52" s="32">
        <v>0</v>
      </c>
      <c r="E52" s="33">
        <f ca="1">IF(INDIRECT(ADDRESS(ROW(), COLUMN()+5)), INDIRECT(ADDRESS(ROW()-1, COLUMN()+1))+E18, INDIRECT(ADDRESS(ROW()-1, COLUMN()+1)))</f>
        <v>4.0000000000000018</v>
      </c>
      <c r="F52" s="34">
        <f t="shared" ca="1" si="0"/>
        <v>4.0000000000000018</v>
      </c>
      <c r="I52" s="22">
        <f t="shared" ca="1" si="2"/>
        <v>42035</v>
      </c>
      <c r="J52" s="23" t="b">
        <f ca="1">IF(INDIRECT(ADDRESS(ROW(), COLUMN()-1))&lt;=F2, TRUE, FALSE)</f>
        <v>1</v>
      </c>
    </row>
    <row r="53" spans="2:10" ht="18" x14ac:dyDescent="0.2">
      <c r="B53" s="44" t="s">
        <v>20</v>
      </c>
      <c r="C53" s="45"/>
      <c r="D53" s="35">
        <f>SUM(D22:D52)</f>
        <v>96</v>
      </c>
      <c r="E53" s="35">
        <f t="shared" ref="E53:F53" ca="1" si="3">E52</f>
        <v>4.0000000000000018</v>
      </c>
      <c r="F53" s="35">
        <f t="shared" ca="1" si="3"/>
        <v>4.0000000000000018</v>
      </c>
    </row>
  </sheetData>
  <mergeCells count="18">
    <mergeCell ref="I20:J20"/>
    <mergeCell ref="B4:C4"/>
    <mergeCell ref="H4:I4"/>
    <mergeCell ref="H5:I5"/>
    <mergeCell ref="B1:P1"/>
    <mergeCell ref="E4:F4"/>
    <mergeCell ref="H2:L2"/>
    <mergeCell ref="E18:F19"/>
    <mergeCell ref="H6:I6"/>
    <mergeCell ref="H8:H10"/>
    <mergeCell ref="I8:J10"/>
    <mergeCell ref="H11:H14"/>
    <mergeCell ref="I11:J14"/>
    <mergeCell ref="G25:G30"/>
    <mergeCell ref="E16:F17"/>
    <mergeCell ref="B53:C53"/>
    <mergeCell ref="B18:D19"/>
    <mergeCell ref="B16:D17"/>
  </mergeCells>
  <conditionalFormatting sqref="E22:F52">
    <cfRule type="cellIs" dxfId="23" priority="1" operator="greaterThanOrEqual">
      <formula>0</formula>
    </cfRule>
  </conditionalFormatting>
  <conditionalFormatting sqref="E22:F52">
    <cfRule type="cellIs" dxfId="22" priority="2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EF9C-FE92-DE42-8F65-6A896CD97F2B}">
  <dimension ref="A1:E22"/>
  <sheetViews>
    <sheetView tabSelected="1" workbookViewId="0">
      <selection activeCell="A8" sqref="A8:XFD8"/>
    </sheetView>
  </sheetViews>
  <sheetFormatPr baseColWidth="10" defaultRowHeight="13" x14ac:dyDescent="0.15"/>
  <cols>
    <col min="4" max="4" width="0" hidden="1" customWidth="1"/>
  </cols>
  <sheetData>
    <row r="1" spans="1:5" x14ac:dyDescent="0.15">
      <c r="A1" t="s">
        <v>49</v>
      </c>
      <c r="D1">
        <v>1</v>
      </c>
      <c r="E1">
        <f>TYPE(D1)</f>
        <v>1</v>
      </c>
    </row>
    <row r="2" spans="1:5" x14ac:dyDescent="0.15">
      <c r="D2">
        <v>1.3212999999999999</v>
      </c>
      <c r="E2" s="38">
        <f t="shared" ref="E2:E22" si="0">TYPE(D2)</f>
        <v>1</v>
      </c>
    </row>
    <row r="3" spans="1:5" x14ac:dyDescent="0.15">
      <c r="D3" s="39">
        <v>1231</v>
      </c>
      <c r="E3" s="38">
        <f t="shared" si="0"/>
        <v>1</v>
      </c>
    </row>
    <row r="4" spans="1:5" x14ac:dyDescent="0.15">
      <c r="D4" t="b">
        <v>1</v>
      </c>
      <c r="E4" s="38">
        <f t="shared" si="0"/>
        <v>4</v>
      </c>
    </row>
    <row r="5" spans="1:5" x14ac:dyDescent="0.15">
      <c r="D5" t="b">
        <v>0</v>
      </c>
      <c r="E5" s="38">
        <f t="shared" si="0"/>
        <v>4</v>
      </c>
    </row>
    <row r="6" spans="1:5" x14ac:dyDescent="0.15">
      <c r="D6" t="s">
        <v>51</v>
      </c>
      <c r="E6" s="38">
        <f t="shared" si="0"/>
        <v>2</v>
      </c>
    </row>
    <row r="7" spans="1:5" x14ac:dyDescent="0.15">
      <c r="D7" s="40">
        <v>42006</v>
      </c>
      <c r="E7" s="38">
        <f t="shared" si="0"/>
        <v>1</v>
      </c>
    </row>
    <row r="8" spans="1:5" hidden="1" x14ac:dyDescent="0.15">
      <c r="D8" s="40">
        <v>39114</v>
      </c>
      <c r="E8" s="38">
        <f t="shared" si="0"/>
        <v>1</v>
      </c>
    </row>
    <row r="9" spans="1:5" x14ac:dyDescent="0.15">
      <c r="D9" t="s">
        <v>52</v>
      </c>
      <c r="E9" s="38">
        <f t="shared" si="0"/>
        <v>2</v>
      </c>
    </row>
    <row r="10" spans="1:5" x14ac:dyDescent="0.15">
      <c r="D10" t="s">
        <v>53</v>
      </c>
      <c r="E10" s="38">
        <f t="shared" si="0"/>
        <v>2</v>
      </c>
    </row>
    <row r="11" spans="1:5" x14ac:dyDescent="0.15">
      <c r="D11" t="e">
        <f>Er</f>
        <v>#NAME?</v>
      </c>
      <c r="E11" s="38">
        <f t="shared" si="0"/>
        <v>16</v>
      </c>
    </row>
    <row r="12" spans="1:5" x14ac:dyDescent="0.15">
      <c r="D12">
        <f>{1,2,3}</f>
        <v>1</v>
      </c>
      <c r="E12" s="38">
        <f>TYPE(D12)</f>
        <v>1</v>
      </c>
    </row>
    <row r="13" spans="1:5" x14ac:dyDescent="0.15">
      <c r="E13" s="38">
        <f t="shared" si="0"/>
        <v>1</v>
      </c>
    </row>
    <row r="14" spans="1:5" x14ac:dyDescent="0.15">
      <c r="E14" s="38">
        <f t="shared" si="0"/>
        <v>1</v>
      </c>
    </row>
    <row r="15" spans="1:5" x14ac:dyDescent="0.15">
      <c r="E15" s="38">
        <f t="shared" si="0"/>
        <v>1</v>
      </c>
    </row>
    <row r="16" spans="1:5" x14ac:dyDescent="0.15">
      <c r="E16" s="38">
        <f t="shared" si="0"/>
        <v>1</v>
      </c>
    </row>
    <row r="17" spans="5:5" x14ac:dyDescent="0.15">
      <c r="E17" s="38">
        <f t="shared" si="0"/>
        <v>1</v>
      </c>
    </row>
    <row r="18" spans="5:5" x14ac:dyDescent="0.15">
      <c r="E18" s="38">
        <f t="shared" si="0"/>
        <v>1</v>
      </c>
    </row>
    <row r="19" spans="5:5" x14ac:dyDescent="0.15">
      <c r="E19" s="38">
        <f t="shared" si="0"/>
        <v>1</v>
      </c>
    </row>
    <row r="20" spans="5:5" x14ac:dyDescent="0.15">
      <c r="E20" s="38">
        <f t="shared" si="0"/>
        <v>1</v>
      </c>
    </row>
    <row r="21" spans="5:5" x14ac:dyDescent="0.15">
      <c r="E21" s="38">
        <f t="shared" si="0"/>
        <v>1</v>
      </c>
    </row>
    <row r="22" spans="5:5" x14ac:dyDescent="0.15">
      <c r="E22" s="38">
        <f t="shared" si="0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32</v>
      </c>
      <c r="C2" s="3" t="s">
        <v>2</v>
      </c>
      <c r="D2" s="4">
        <v>42036</v>
      </c>
      <c r="E2" s="3" t="s">
        <v>3</v>
      </c>
      <c r="F2" s="5">
        <f>EOMONTH(D2,0)</f>
        <v>42063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42036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42036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42037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42037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42038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42038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42039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42039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42040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42040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42041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42041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42042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42042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42043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42043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42044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42044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42045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42045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42046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42046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42047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42047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42048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42048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42049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42049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42050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42050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42051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42051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42052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42052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42053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42053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42054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42054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42055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42055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42056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42056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42057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42057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42058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42058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42059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42059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42060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42060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42061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42061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42062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42062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42063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42063</v>
      </c>
      <c r="J49" s="23" t="b">
        <f ca="1">IF(INDIRECT(ADDRESS(ROW(), COLUMN()-1))&lt;=F2, TRUE, FALSE)</f>
        <v>1</v>
      </c>
    </row>
    <row r="50" spans="2:10" ht="14" x14ac:dyDescent="0.15">
      <c r="B50" s="29">
        <f t="shared" ca="1" si="0"/>
        <v>0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42064</v>
      </c>
      <c r="J50" s="23" t="b">
        <f ca="1">IF(INDIRECT(ADDRESS(ROW(), COLUMN()-1))&lt;=F2, TRUE, FALSE)</f>
        <v>0</v>
      </c>
    </row>
    <row r="51" spans="2:10" ht="14" x14ac:dyDescent="0.15">
      <c r="B51" s="29">
        <f t="shared" ca="1" si="0"/>
        <v>0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42065</v>
      </c>
      <c r="J51" s="23" t="b">
        <f ca="1">IF(INDIRECT(ADDRESS(ROW(), COLUMN()-1))&lt;=F2, TRUE, FALSE)</f>
        <v>0</v>
      </c>
    </row>
    <row r="52" spans="2:10" ht="14" x14ac:dyDescent="0.15">
      <c r="B52" s="30">
        <f t="shared" ca="1" si="0"/>
        <v>0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42066</v>
      </c>
      <c r="J52" s="23" t="b">
        <f ca="1">IF(INDIRECT(ADDRESS(ROW(), COLUMN()-1))&lt;=F2, TRUE, FALSE)</f>
        <v>0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I20:J20"/>
    <mergeCell ref="E18:F19"/>
    <mergeCell ref="B53:C53"/>
    <mergeCell ref="B18:D19"/>
    <mergeCell ref="B4:C4"/>
    <mergeCell ref="B16:D17"/>
    <mergeCell ref="E16:F17"/>
    <mergeCell ref="E4:F4"/>
    <mergeCell ref="H4:I4"/>
    <mergeCell ref="H2:L2"/>
    <mergeCell ref="H5:I5"/>
    <mergeCell ref="H6:I6"/>
    <mergeCell ref="H11:H14"/>
    <mergeCell ref="I11:J14"/>
    <mergeCell ref="H8:H10"/>
    <mergeCell ref="I8:J10"/>
  </mergeCells>
  <conditionalFormatting sqref="E22:F52">
    <cfRule type="cellIs" dxfId="21" priority="1" operator="greaterThanOrEqual">
      <formula>0</formula>
    </cfRule>
  </conditionalFormatting>
  <conditionalFormatting sqref="E22:F52">
    <cfRule type="cellIs" dxfId="20" priority="2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37</v>
      </c>
      <c r="C2" s="3" t="s">
        <v>2</v>
      </c>
      <c r="D2" s="4">
        <v>42064</v>
      </c>
      <c r="E2" s="3" t="s">
        <v>3</v>
      </c>
      <c r="F2" s="5">
        <f>EOMONTH(D2,0)</f>
        <v>42094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42064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42064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42065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42065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42066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42066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42067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42067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42068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42068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42069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42069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42070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42070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42071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42071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42072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42072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42073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42073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42074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42074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42075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42075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42076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42076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42077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42077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42078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42078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42079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42079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42080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42080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42081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42081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42082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42082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42083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42083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42084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42084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42085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42085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42086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42086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42087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42087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42088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42088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42089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42089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42090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42090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42091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42091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42092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42092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42093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42093</v>
      </c>
      <c r="J51" s="23" t="b">
        <f ca="1">IF(INDIRECT(ADDRESS(ROW(), COLUMN()-1))&lt;=F2, TRUE, FALSE)</f>
        <v>1</v>
      </c>
    </row>
    <row r="52" spans="2:10" ht="14" x14ac:dyDescent="0.15">
      <c r="B52" s="36">
        <f t="shared" ca="1" si="0"/>
        <v>42094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42094</v>
      </c>
      <c r="J52" s="23" t="b">
        <f ca="1">IF(INDIRECT(ADDRESS(ROW(), COLUMN()-1))&lt;=F2, TRUE, FALSE)</f>
        <v>1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H2:L2"/>
    <mergeCell ref="H5:I5"/>
    <mergeCell ref="H6:I6"/>
    <mergeCell ref="E18:F19"/>
    <mergeCell ref="H8:H10"/>
    <mergeCell ref="I8:J10"/>
    <mergeCell ref="E4:F4"/>
    <mergeCell ref="I20:J20"/>
    <mergeCell ref="B53:C53"/>
    <mergeCell ref="B18:D19"/>
    <mergeCell ref="B4:C4"/>
    <mergeCell ref="B16:D17"/>
    <mergeCell ref="E16:F17"/>
    <mergeCell ref="H4:I4"/>
    <mergeCell ref="H11:H14"/>
    <mergeCell ref="I11:J14"/>
  </mergeCells>
  <conditionalFormatting sqref="E22:F52">
    <cfRule type="cellIs" dxfId="19" priority="1" operator="greaterThanOrEqual">
      <formula>0</formula>
    </cfRule>
  </conditionalFormatting>
  <conditionalFormatting sqref="E22:F52">
    <cfRule type="cellIs" dxfId="18" priority="2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43</v>
      </c>
      <c r="C2" s="3" t="s">
        <v>2</v>
      </c>
      <c r="D2" s="4">
        <v>42095</v>
      </c>
      <c r="E2" s="3" t="s">
        <v>3</v>
      </c>
      <c r="F2" s="5">
        <f>EOMONTH(D2,0)</f>
        <v>42124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42095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42095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42096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42096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42097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42097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42098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42098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42099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42099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42100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42100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42101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42101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42102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42102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42103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42103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42104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42104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42105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42105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42106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42106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42107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42107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42108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42108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42109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42109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42110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42110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42111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42111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42112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42112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42113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42113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42114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42114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42115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42115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42116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42116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42117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42117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42118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42118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42119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42119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42120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42120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42121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42121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42122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42122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42123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42123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42124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42124</v>
      </c>
      <c r="J51" s="23" t="b">
        <f ca="1">IF(INDIRECT(ADDRESS(ROW(), COLUMN()-1))&lt;=F2, TRUE, FALSE)</f>
        <v>1</v>
      </c>
    </row>
    <row r="52" spans="2:10" ht="14" x14ac:dyDescent="0.15">
      <c r="B52" s="30">
        <f t="shared" ca="1" si="0"/>
        <v>0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42125</v>
      </c>
      <c r="J52" s="23" t="b">
        <f ca="1">IF(INDIRECT(ADDRESS(ROW(), COLUMN()-1))&lt;=F2, TRUE, FALSE)</f>
        <v>0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I20:J20"/>
    <mergeCell ref="B53:C53"/>
    <mergeCell ref="B18:D19"/>
    <mergeCell ref="H8:H10"/>
    <mergeCell ref="I8:J10"/>
    <mergeCell ref="E18:F19"/>
    <mergeCell ref="H6:I6"/>
    <mergeCell ref="B16:D17"/>
    <mergeCell ref="E16:F17"/>
    <mergeCell ref="H11:H14"/>
    <mergeCell ref="I11:J14"/>
    <mergeCell ref="E4:F4"/>
    <mergeCell ref="B4:C4"/>
    <mergeCell ref="H4:I4"/>
    <mergeCell ref="H2:L2"/>
    <mergeCell ref="H5:I5"/>
  </mergeCells>
  <conditionalFormatting sqref="E22:F52">
    <cfRule type="cellIs" dxfId="17" priority="1" operator="greaterThanOrEqual">
      <formula>0</formula>
    </cfRule>
  </conditionalFormatting>
  <conditionalFormatting sqref="E22:F52">
    <cfRule type="cellIs" dxfId="16" priority="2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40</v>
      </c>
      <c r="C2" s="3" t="s">
        <v>2</v>
      </c>
      <c r="D2" s="4">
        <v>42125</v>
      </c>
      <c r="E2" s="3" t="s">
        <v>3</v>
      </c>
      <c r="F2" s="5">
        <f>EOMONTH(D2,0)</f>
        <v>42155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42125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42125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42126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42126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42127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42127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42128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42128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42129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42129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42130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42130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42131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42131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42132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42132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42133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42133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42134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42134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42135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42135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42136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42136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42137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42137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42138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42138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42139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42139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42140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42140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42141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42141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42142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42142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42143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42143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42144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42144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42145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42145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42146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42146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42147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42147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42148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42148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42149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42149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42150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42150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42151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42151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42152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42152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42153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42153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42154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42154</v>
      </c>
      <c r="J51" s="23" t="b">
        <f ca="1">IF(INDIRECT(ADDRESS(ROW(), COLUMN()-1))&lt;=F2, TRUE, FALSE)</f>
        <v>1</v>
      </c>
    </row>
    <row r="52" spans="2:10" ht="14" x14ac:dyDescent="0.15">
      <c r="B52" s="36">
        <f t="shared" ca="1" si="0"/>
        <v>42155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42155</v>
      </c>
      <c r="J52" s="23" t="b">
        <f ca="1">IF(INDIRECT(ADDRESS(ROW(), COLUMN()-1))&lt;=F2, TRUE, FALSE)</f>
        <v>1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E4:F4"/>
    <mergeCell ref="B4:C4"/>
    <mergeCell ref="H4:I4"/>
    <mergeCell ref="H2:L2"/>
    <mergeCell ref="H5:I5"/>
    <mergeCell ref="H6:I6"/>
    <mergeCell ref="H11:H14"/>
    <mergeCell ref="I20:J20"/>
    <mergeCell ref="B53:C53"/>
    <mergeCell ref="B18:D19"/>
    <mergeCell ref="H8:H10"/>
    <mergeCell ref="I8:J10"/>
    <mergeCell ref="E18:F19"/>
    <mergeCell ref="B16:D17"/>
    <mergeCell ref="E16:F17"/>
    <mergeCell ref="I11:J14"/>
  </mergeCells>
  <conditionalFormatting sqref="E22:F52">
    <cfRule type="cellIs" dxfId="15" priority="1" operator="greaterThanOrEqual">
      <formula>0</formula>
    </cfRule>
  </conditionalFormatting>
  <conditionalFormatting sqref="E22:F52">
    <cfRule type="cellIs" dxfId="14" priority="2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41</v>
      </c>
      <c r="C2" s="3" t="s">
        <v>2</v>
      </c>
      <c r="D2" s="4">
        <v>42156</v>
      </c>
      <c r="E2" s="3" t="s">
        <v>3</v>
      </c>
      <c r="F2" s="5">
        <f>EOMONTH(D2,0)</f>
        <v>42185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42156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42156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42157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42157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42158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42158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42159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42159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42160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42160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42161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42161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42162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42162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42163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42163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42164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42164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42165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42165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42166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42166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42167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42167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42168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42168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42169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42169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42170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42170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42171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42171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42172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42172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42173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42173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42174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42174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42175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42175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42176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42176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42177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42177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42178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42178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42179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42179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42180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42180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42181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42181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42182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42182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42183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42183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42184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42184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42185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42185</v>
      </c>
      <c r="J51" s="23" t="b">
        <f ca="1">IF(INDIRECT(ADDRESS(ROW(), COLUMN()-1))&lt;=F2, TRUE, FALSE)</f>
        <v>1</v>
      </c>
    </row>
    <row r="52" spans="2:10" ht="14" x14ac:dyDescent="0.15">
      <c r="B52" s="30">
        <f t="shared" ca="1" si="0"/>
        <v>0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42186</v>
      </c>
      <c r="J52" s="23" t="b">
        <f ca="1">IF(INDIRECT(ADDRESS(ROW(), COLUMN()-1))&lt;=F2, TRUE, FALSE)</f>
        <v>0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H2:L2"/>
    <mergeCell ref="H5:I5"/>
    <mergeCell ref="I20:J20"/>
    <mergeCell ref="B53:C53"/>
    <mergeCell ref="B18:D19"/>
    <mergeCell ref="H6:I6"/>
    <mergeCell ref="E4:F4"/>
    <mergeCell ref="B4:C4"/>
    <mergeCell ref="H4:I4"/>
    <mergeCell ref="H8:H10"/>
    <mergeCell ref="I8:J10"/>
    <mergeCell ref="E18:F19"/>
    <mergeCell ref="I11:J14"/>
    <mergeCell ref="B16:D17"/>
    <mergeCell ref="E16:F17"/>
    <mergeCell ref="H11:H14"/>
  </mergeCells>
  <conditionalFormatting sqref="E22:F52">
    <cfRule type="cellIs" dxfId="13" priority="1" operator="greaterThanOrEqual">
      <formula>0</formula>
    </cfRule>
  </conditionalFormatting>
  <conditionalFormatting sqref="E22:F52">
    <cfRule type="cellIs" dxfId="12" priority="2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42</v>
      </c>
      <c r="C2" s="3" t="s">
        <v>2</v>
      </c>
      <c r="D2" s="4">
        <v>42186</v>
      </c>
      <c r="E2" s="3" t="s">
        <v>3</v>
      </c>
      <c r="F2" s="5">
        <f>EOMONTH(D2,0)</f>
        <v>42216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42186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42186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42187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42187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42188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42188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42189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42189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42190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42190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42191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42191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42192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42192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42193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42193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42194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42194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42195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42195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42196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42196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42197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42197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42198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42198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42199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42199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42200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42200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42201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42201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42202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42202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42203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42203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42204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42204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42205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42205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42206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42206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42207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42207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42208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42208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42209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42209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42210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42210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42211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42211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42212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42212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42213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42213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42214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42214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42215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42215</v>
      </c>
      <c r="J51" s="23" t="b">
        <f ca="1">IF(INDIRECT(ADDRESS(ROW(), COLUMN()-1))&lt;=F2, TRUE, FALSE)</f>
        <v>1</v>
      </c>
    </row>
    <row r="52" spans="2:10" ht="14" x14ac:dyDescent="0.15">
      <c r="B52" s="36">
        <f t="shared" ca="1" si="0"/>
        <v>42216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42216</v>
      </c>
      <c r="J52" s="23" t="b">
        <f ca="1">IF(INDIRECT(ADDRESS(ROW(), COLUMN()-1))&lt;=F2, TRUE, FALSE)</f>
        <v>1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B4:C4"/>
    <mergeCell ref="H4:I4"/>
    <mergeCell ref="I20:J20"/>
    <mergeCell ref="B53:C53"/>
    <mergeCell ref="B18:D19"/>
    <mergeCell ref="H8:H10"/>
    <mergeCell ref="E18:F19"/>
    <mergeCell ref="B16:D17"/>
    <mergeCell ref="E16:F17"/>
    <mergeCell ref="I8:J10"/>
    <mergeCell ref="I11:J14"/>
    <mergeCell ref="H2:L2"/>
    <mergeCell ref="H5:I5"/>
    <mergeCell ref="H6:I6"/>
    <mergeCell ref="H11:H14"/>
    <mergeCell ref="E4:F4"/>
  </mergeCells>
  <conditionalFormatting sqref="E22:F52">
    <cfRule type="cellIs" dxfId="11" priority="1" operator="greaterThanOrEqual">
      <formula>0</formula>
    </cfRule>
  </conditionalFormatting>
  <conditionalFormatting sqref="E22:F52">
    <cfRule type="cellIs" dxfId="10" priority="2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44</v>
      </c>
      <c r="C2" s="3" t="s">
        <v>2</v>
      </c>
      <c r="D2" s="4">
        <v>42217</v>
      </c>
      <c r="E2" s="3" t="s">
        <v>3</v>
      </c>
      <c r="F2" s="5">
        <f>EOMONTH(D2,0)</f>
        <v>42247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42217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42217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42218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42218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42219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42219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42220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42220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42221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42221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42222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42222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42223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42223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42224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42224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42225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42225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42226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42226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42227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42227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42228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42228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42229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42229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42230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42230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42231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42231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42232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42232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42233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42233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42234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42234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42235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42235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42236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42236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42237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42237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42238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42238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42239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42239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42240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42240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42241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42241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42242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42242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42243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42243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42244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42244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42245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42245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42246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42246</v>
      </c>
      <c r="J51" s="23" t="b">
        <f ca="1">IF(INDIRECT(ADDRESS(ROW(), COLUMN()-1))&lt;=F2, TRUE, FALSE)</f>
        <v>1</v>
      </c>
    </row>
    <row r="52" spans="2:10" ht="14" x14ac:dyDescent="0.15">
      <c r="B52" s="36">
        <f t="shared" ca="1" si="0"/>
        <v>42247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42247</v>
      </c>
      <c r="J52" s="23" t="b">
        <f ca="1">IF(INDIRECT(ADDRESS(ROW(), COLUMN()-1))&lt;=F2, TRUE, FALSE)</f>
        <v>1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H2:L2"/>
    <mergeCell ref="H5:I5"/>
    <mergeCell ref="B16:D17"/>
    <mergeCell ref="E16:F17"/>
    <mergeCell ref="B53:C53"/>
    <mergeCell ref="B18:D19"/>
    <mergeCell ref="H8:H10"/>
    <mergeCell ref="E18:F19"/>
    <mergeCell ref="E4:F4"/>
    <mergeCell ref="B4:C4"/>
    <mergeCell ref="H4:I4"/>
    <mergeCell ref="I8:J10"/>
    <mergeCell ref="I11:J14"/>
    <mergeCell ref="I20:J20"/>
    <mergeCell ref="H6:I6"/>
    <mergeCell ref="H11:H14"/>
  </mergeCells>
  <conditionalFormatting sqref="E22:F52">
    <cfRule type="cellIs" dxfId="9" priority="1" operator="greaterThanOrEqual">
      <formula>0</formula>
    </cfRule>
  </conditionalFormatting>
  <conditionalFormatting sqref="E22:F52">
    <cfRule type="cellIs" dxfId="8" priority="2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45</v>
      </c>
      <c r="C2" s="3" t="s">
        <v>2</v>
      </c>
      <c r="D2" s="4">
        <v>42248</v>
      </c>
      <c r="E2" s="3" t="s">
        <v>3</v>
      </c>
      <c r="F2" s="5">
        <f>EOMONTH(D2,0)</f>
        <v>42277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42248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42248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42249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42249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42250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42250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42251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42251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42252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42252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42253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42253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42254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42254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42255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42255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42256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42256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42257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42257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42258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42258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42259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42259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42260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42260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42261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42261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42262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42262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42263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42263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42264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42264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42265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42265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42266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42266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42267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42267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42268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42268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42269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42269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42270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42270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42271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42271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42272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42272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42273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42273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42274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42274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42275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42275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42276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42276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42277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42277</v>
      </c>
      <c r="J51" s="23" t="b">
        <f ca="1">IF(INDIRECT(ADDRESS(ROW(), COLUMN()-1))&lt;=F2, TRUE, FALSE)</f>
        <v>1</v>
      </c>
    </row>
    <row r="52" spans="2:10" ht="14" x14ac:dyDescent="0.15">
      <c r="B52" s="30">
        <f t="shared" ca="1" si="0"/>
        <v>0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42278</v>
      </c>
      <c r="J52" s="23" t="b">
        <f ca="1">IF(INDIRECT(ADDRESS(ROW(), COLUMN()-1))&lt;=F2, TRUE, FALSE)</f>
        <v>0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B53:C53"/>
    <mergeCell ref="H8:H10"/>
    <mergeCell ref="H5:I5"/>
    <mergeCell ref="H2:L2"/>
    <mergeCell ref="I20:J20"/>
    <mergeCell ref="B16:D17"/>
    <mergeCell ref="E16:F17"/>
    <mergeCell ref="I8:J10"/>
    <mergeCell ref="I11:J14"/>
    <mergeCell ref="H6:I6"/>
    <mergeCell ref="H11:H14"/>
    <mergeCell ref="B18:D19"/>
    <mergeCell ref="E18:F19"/>
    <mergeCell ref="E4:F4"/>
    <mergeCell ref="B4:C4"/>
    <mergeCell ref="H4:I4"/>
  </mergeCells>
  <conditionalFormatting sqref="E22:F52">
    <cfRule type="cellIs" dxfId="7" priority="1" operator="greaterThanOrEqual">
      <formula>0</formula>
    </cfRule>
  </conditionalFormatting>
  <conditionalFormatting sqref="E22:F52">
    <cfRule type="cellIs" dxfId="6" priority="2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48</v>
      </c>
      <c r="C2" s="3" t="s">
        <v>2</v>
      </c>
      <c r="D2" s="4">
        <v>42278</v>
      </c>
      <c r="E2" s="3" t="s">
        <v>3</v>
      </c>
      <c r="F2" s="5">
        <f>EOMONTH(D2,0)</f>
        <v>42308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42278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42278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42279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42279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42280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42280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42281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42281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42282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42282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42283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42283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42284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42284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42285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42285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42286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42286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42287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42287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42288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42288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42289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42289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42290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42290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42291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42291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42292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42292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42293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42293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42294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42294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42295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42295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42296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42296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42297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42297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42298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42298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42299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42299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42300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42300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42301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42301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42302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42302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42303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42303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42304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42304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42305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42305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42306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42306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42307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42307</v>
      </c>
      <c r="J51" s="23" t="b">
        <f ca="1">IF(INDIRECT(ADDRESS(ROW(), COLUMN()-1))&lt;=F2, TRUE, FALSE)</f>
        <v>1</v>
      </c>
    </row>
    <row r="52" spans="2:10" ht="14" x14ac:dyDescent="0.15">
      <c r="B52" s="36">
        <f t="shared" ca="1" si="0"/>
        <v>42308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42308</v>
      </c>
      <c r="J52" s="23" t="b">
        <f ca="1">IF(INDIRECT(ADDRESS(ROW(), COLUMN()-1))&lt;=F2, TRUE, FALSE)</f>
        <v>1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H2:L2"/>
    <mergeCell ref="I20:J20"/>
    <mergeCell ref="H5:I5"/>
    <mergeCell ref="H6:I6"/>
    <mergeCell ref="H11:H14"/>
    <mergeCell ref="H8:H10"/>
    <mergeCell ref="B53:C53"/>
    <mergeCell ref="I8:J10"/>
    <mergeCell ref="I11:J14"/>
    <mergeCell ref="E4:F4"/>
    <mergeCell ref="B4:C4"/>
    <mergeCell ref="H4:I4"/>
    <mergeCell ref="B18:D19"/>
    <mergeCell ref="E18:F19"/>
    <mergeCell ref="B16:D17"/>
    <mergeCell ref="E16:F17"/>
  </mergeCells>
  <conditionalFormatting sqref="E22:F52">
    <cfRule type="cellIs" dxfId="5" priority="1" operator="greaterThanOrEqual">
      <formula>0</formula>
    </cfRule>
  </conditionalFormatting>
  <conditionalFormatting sqref="E22:F52">
    <cfRule type="cellIs" dxfId="4" priority="2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46</v>
      </c>
      <c r="C2" s="3" t="s">
        <v>2</v>
      </c>
      <c r="D2" s="4">
        <v>42309</v>
      </c>
      <c r="E2" s="3" t="s">
        <v>3</v>
      </c>
      <c r="F2" s="5">
        <f>EOMONTH(D2,0)</f>
        <v>42338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42309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42309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42310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42310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42311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42311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42312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42312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42313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42313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42314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42314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42315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42315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42316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42316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42317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42317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42318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42318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42319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42319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42320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42320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42321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42321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42322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42322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42323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42323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42324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42324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42325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42325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42326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42326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42327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42327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42328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42328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42329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42329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42330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42330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42331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42331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42332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42332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42333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42333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42334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42334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42335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42335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42336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42336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42337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42337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42338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42338</v>
      </c>
      <c r="J51" s="23" t="b">
        <f ca="1">IF(INDIRECT(ADDRESS(ROW(), COLUMN()-1))&lt;=F2, TRUE, FALSE)</f>
        <v>1</v>
      </c>
    </row>
    <row r="52" spans="2:10" ht="14" x14ac:dyDescent="0.15">
      <c r="B52" s="30">
        <f t="shared" ca="1" si="0"/>
        <v>0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42339</v>
      </c>
      <c r="J52" s="23" t="b">
        <f ca="1">IF(INDIRECT(ADDRESS(ROW(), COLUMN()-1))&lt;=F2, TRUE, FALSE)</f>
        <v>0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H2:L2"/>
    <mergeCell ref="H5:I5"/>
    <mergeCell ref="E16:F17"/>
    <mergeCell ref="B53:C53"/>
    <mergeCell ref="I8:J10"/>
    <mergeCell ref="I11:J14"/>
    <mergeCell ref="H11:H14"/>
    <mergeCell ref="H8:H10"/>
    <mergeCell ref="E18:F19"/>
    <mergeCell ref="I20:J20"/>
    <mergeCell ref="B16:D17"/>
    <mergeCell ref="B18:D19"/>
    <mergeCell ref="H6:I6"/>
    <mergeCell ref="E4:F4"/>
    <mergeCell ref="B4:C4"/>
    <mergeCell ref="H4:I4"/>
  </mergeCells>
  <conditionalFormatting sqref="E22:F52">
    <cfRule type="cellIs" dxfId="3" priority="1" operator="greaterThanOrEqual">
      <formula>0</formula>
    </cfRule>
  </conditionalFormatting>
  <conditionalFormatting sqref="E22:F52">
    <cfRule type="cellIs" dxfId="2" priority="2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outlinePr summaryBelow="0" summaryRight="0"/>
  </sheetPr>
  <dimension ref="A2:Z53"/>
  <sheetViews>
    <sheetView workbookViewId="0"/>
  </sheetViews>
  <sheetFormatPr baseColWidth="10" defaultColWidth="14.5" defaultRowHeight="15.75" customHeight="1" x14ac:dyDescent="0.15"/>
  <cols>
    <col min="2" max="2" width="18.5" customWidth="1"/>
    <col min="3" max="3" width="26" customWidth="1"/>
    <col min="5" max="5" width="15.83203125" customWidth="1"/>
    <col min="8" max="8" width="17.5" customWidth="1"/>
    <col min="12" max="12" width="18" customWidth="1"/>
  </cols>
  <sheetData>
    <row r="2" spans="1:26" ht="18" x14ac:dyDescent="0.2">
      <c r="A2" s="1"/>
      <c r="B2" s="2" t="s">
        <v>47</v>
      </c>
      <c r="C2" s="3" t="s">
        <v>2</v>
      </c>
      <c r="D2" s="4">
        <v>42339</v>
      </c>
      <c r="E2" s="3" t="s">
        <v>3</v>
      </c>
      <c r="F2" s="5">
        <f>EOMONTH(D2,0)</f>
        <v>42369</v>
      </c>
      <c r="G2" s="6"/>
      <c r="H2" s="52" t="s">
        <v>4</v>
      </c>
      <c r="I2" s="42"/>
      <c r="J2" s="42"/>
      <c r="K2" s="42"/>
      <c r="L2" s="4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x14ac:dyDescent="0.2">
      <c r="H3" s="1"/>
    </row>
    <row r="4" spans="1:26" ht="15.75" customHeight="1" x14ac:dyDescent="0.15">
      <c r="B4" s="48" t="s">
        <v>5</v>
      </c>
      <c r="C4" s="45"/>
      <c r="E4" s="48" t="s">
        <v>6</v>
      </c>
      <c r="F4" s="45"/>
      <c r="H4" s="49" t="s">
        <v>7</v>
      </c>
      <c r="I4" s="42"/>
    </row>
    <row r="5" spans="1:26" ht="15.75" customHeight="1" x14ac:dyDescent="0.15">
      <c r="B5" s="7"/>
      <c r="C5" s="8"/>
      <c r="E5" s="7"/>
      <c r="F5" s="9"/>
      <c r="H5" s="50" t="s">
        <v>10</v>
      </c>
      <c r="I5" s="42"/>
    </row>
    <row r="6" spans="1:26" ht="15.75" customHeight="1" x14ac:dyDescent="0.15">
      <c r="B6" s="7"/>
      <c r="C6" s="9"/>
      <c r="E6" s="7"/>
      <c r="F6" s="9"/>
      <c r="H6" s="53" t="s">
        <v>13</v>
      </c>
      <c r="I6" s="42"/>
    </row>
    <row r="7" spans="1:26" ht="15.75" customHeight="1" x14ac:dyDescent="0.15">
      <c r="B7" s="10"/>
      <c r="C7" s="9"/>
      <c r="E7" s="7"/>
      <c r="F7" s="9"/>
    </row>
    <row r="8" spans="1:26" ht="15.75" customHeight="1" x14ac:dyDescent="0.15">
      <c r="B8" s="10"/>
      <c r="C8" s="11"/>
      <c r="E8" s="7"/>
      <c r="F8" s="9"/>
      <c r="H8" s="54" t="s">
        <v>5</v>
      </c>
      <c r="I8" s="57" t="s">
        <v>16</v>
      </c>
      <c r="J8" s="58"/>
    </row>
    <row r="9" spans="1:26" ht="15.75" customHeight="1" x14ac:dyDescent="0.15">
      <c r="B9" s="10"/>
      <c r="C9" s="11"/>
      <c r="E9" s="7"/>
      <c r="F9" s="9"/>
      <c r="H9" s="55"/>
      <c r="I9" s="59"/>
      <c r="J9" s="60"/>
    </row>
    <row r="10" spans="1:26" ht="15.75" customHeight="1" x14ac:dyDescent="0.15">
      <c r="B10" s="10"/>
      <c r="C10" s="11"/>
      <c r="E10" s="7"/>
      <c r="F10" s="9"/>
      <c r="H10" s="56"/>
      <c r="I10" s="61"/>
      <c r="J10" s="62"/>
    </row>
    <row r="11" spans="1:26" ht="15.75" customHeight="1" x14ac:dyDescent="0.15">
      <c r="B11" s="10"/>
      <c r="C11" s="11"/>
      <c r="E11" s="10"/>
      <c r="F11" s="11"/>
      <c r="H11" s="54" t="s">
        <v>6</v>
      </c>
      <c r="I11" s="63" t="s">
        <v>19</v>
      </c>
      <c r="J11" s="58"/>
    </row>
    <row r="12" spans="1:26" ht="15.75" customHeight="1" x14ac:dyDescent="0.15">
      <c r="B12" s="10"/>
      <c r="C12" s="11"/>
      <c r="E12" s="10"/>
      <c r="F12" s="11"/>
      <c r="H12" s="55"/>
      <c r="I12" s="59"/>
      <c r="J12" s="60"/>
    </row>
    <row r="13" spans="1:26" ht="15.75" customHeight="1" x14ac:dyDescent="0.15">
      <c r="B13" s="10"/>
      <c r="C13" s="11"/>
      <c r="E13" s="10"/>
      <c r="F13" s="11"/>
      <c r="H13" s="55"/>
      <c r="I13" s="59"/>
      <c r="J13" s="60"/>
    </row>
    <row r="14" spans="1:26" ht="15.75" customHeight="1" x14ac:dyDescent="0.15">
      <c r="B14" s="12" t="s">
        <v>20</v>
      </c>
      <c r="C14" s="13">
        <f>SUM(C5:C13)</f>
        <v>0</v>
      </c>
      <c r="D14" s="14"/>
      <c r="E14" s="12" t="s">
        <v>20</v>
      </c>
      <c r="F14" s="13">
        <f>SUM(F5:F13)</f>
        <v>0</v>
      </c>
      <c r="H14" s="56"/>
      <c r="I14" s="61"/>
      <c r="J14" s="62"/>
    </row>
    <row r="16" spans="1:26" ht="15.75" customHeight="1" x14ac:dyDescent="0.15">
      <c r="B16" s="46" t="s">
        <v>21</v>
      </c>
      <c r="C16" s="42"/>
      <c r="D16" s="42"/>
      <c r="E16" s="43">
        <f>C14-F14</f>
        <v>0</v>
      </c>
      <c r="F16" s="42"/>
    </row>
    <row r="17" spans="2:10" ht="15.75" customHeight="1" x14ac:dyDescent="0.15">
      <c r="B17" s="42"/>
      <c r="C17" s="42"/>
      <c r="D17" s="42"/>
      <c r="E17" s="42"/>
      <c r="F17" s="42"/>
    </row>
    <row r="18" spans="2:10" ht="15.75" customHeight="1" x14ac:dyDescent="0.15">
      <c r="B18" s="46" t="s">
        <v>22</v>
      </c>
      <c r="C18" s="42"/>
      <c r="D18" s="42"/>
      <c r="E18" s="43">
        <f>E16/(DAYS360(D2,F2)+1)</f>
        <v>0</v>
      </c>
      <c r="F18" s="42"/>
    </row>
    <row r="19" spans="2:10" ht="15.75" customHeight="1" x14ac:dyDescent="0.15">
      <c r="B19" s="42"/>
      <c r="C19" s="42"/>
      <c r="D19" s="42"/>
      <c r="E19" s="42"/>
      <c r="F19" s="42"/>
    </row>
    <row r="20" spans="2:10" ht="15.75" customHeight="1" x14ac:dyDescent="0.15">
      <c r="I20" s="47" t="s">
        <v>23</v>
      </c>
      <c r="J20" s="42"/>
    </row>
    <row r="21" spans="2:10" ht="16" x14ac:dyDescent="0.2">
      <c r="B21" s="15" t="s">
        <v>24</v>
      </c>
      <c r="C21" s="15" t="s">
        <v>25</v>
      </c>
      <c r="D21" s="15" t="s">
        <v>26</v>
      </c>
      <c r="E21" s="15" t="s">
        <v>27</v>
      </c>
      <c r="F21" s="15" t="s">
        <v>28</v>
      </c>
      <c r="I21" s="16" t="s">
        <v>29</v>
      </c>
      <c r="J21" s="16" t="s">
        <v>30</v>
      </c>
    </row>
    <row r="22" spans="2:10" ht="15.75" customHeight="1" x14ac:dyDescent="0.15">
      <c r="B22" s="17">
        <f t="shared" ref="B22:B52" ca="1" si="0">IF(INDIRECT(ADDRESS(ROW(), COLUMN()+8)),INDIRECT(ADDRESS(ROW(), COLUMN()+7)), )</f>
        <v>42339</v>
      </c>
      <c r="C22" s="18"/>
      <c r="D22" s="19">
        <v>0</v>
      </c>
      <c r="E22" s="20">
        <f>E18</f>
        <v>0</v>
      </c>
      <c r="F22" s="21">
        <f t="shared" ref="F22:F52" ca="1" si="1">INDIRECT(ADDRESS(ROW(), COLUMN()-1))-INDIRECT(ADDRESS(ROW(), COLUMN()-2))</f>
        <v>0</v>
      </c>
      <c r="I22" s="22">
        <f>D2</f>
        <v>42339</v>
      </c>
      <c r="J22" s="23" t="b">
        <f ca="1">IF(INDIRECT(ADDRESS(ROW(), COLUMN()-1))&lt;=F2, TRUE, FALSE)</f>
        <v>1</v>
      </c>
    </row>
    <row r="23" spans="2:10" ht="15.75" customHeight="1" x14ac:dyDescent="0.15">
      <c r="B23" s="24">
        <f t="shared" ca="1" si="0"/>
        <v>42340</v>
      </c>
      <c r="C23" s="25"/>
      <c r="D23" s="19">
        <v>0</v>
      </c>
      <c r="E23" s="26">
        <f ca="1">IF(INDIRECT(ADDRESS(ROW(), COLUMN()+5)), INDIRECT(ADDRESS(ROW()-1, COLUMN()+1))+E18, INDIRECT(ADDRESS(ROW()-1, COLUMN()+1)))</f>
        <v>0</v>
      </c>
      <c r="F23" s="21">
        <f t="shared" ca="1" si="1"/>
        <v>0</v>
      </c>
      <c r="I23" s="22">
        <f t="shared" ref="I23:I52" ca="1" si="2">INDIRECT(ADDRESS(ROW()-1, COLUMN()))+1</f>
        <v>42340</v>
      </c>
      <c r="J23" s="23" t="b">
        <f ca="1">IF(INDIRECT(ADDRESS(ROW(), COLUMN()-1))&lt;=F2, TRUE, FALSE)</f>
        <v>1</v>
      </c>
    </row>
    <row r="24" spans="2:10" ht="15.75" customHeight="1" x14ac:dyDescent="0.15">
      <c r="B24" s="24">
        <f t="shared" ca="1" si="0"/>
        <v>42341</v>
      </c>
      <c r="C24" s="25"/>
      <c r="D24" s="19">
        <v>0</v>
      </c>
      <c r="E24" s="27">
        <f ca="1">IF(INDIRECT(ADDRESS(ROW(), COLUMN()+5)), INDIRECT(ADDRESS(ROW()-1, COLUMN()+1))+E18, INDIRECT(ADDRESS(ROW()-1, COLUMN()+1)))</f>
        <v>0</v>
      </c>
      <c r="F24" s="21">
        <f t="shared" ca="1" si="1"/>
        <v>0</v>
      </c>
      <c r="I24" s="22">
        <f t="shared" ca="1" si="2"/>
        <v>42341</v>
      </c>
      <c r="J24" s="23" t="b">
        <f ca="1">IF(INDIRECT(ADDRESS(ROW(), COLUMN()-1))&lt;=F2, TRUE, FALSE)</f>
        <v>1</v>
      </c>
    </row>
    <row r="25" spans="2:10" ht="15.75" customHeight="1" x14ac:dyDescent="0.15">
      <c r="B25" s="24">
        <f t="shared" ca="1" si="0"/>
        <v>42342</v>
      </c>
      <c r="C25" s="18"/>
      <c r="D25" s="19">
        <v>0</v>
      </c>
      <c r="E25" s="27">
        <f ca="1">IF(INDIRECT(ADDRESS(ROW(), COLUMN()+5)), INDIRECT(ADDRESS(ROW()-1, COLUMN()+1))+E18, INDIRECT(ADDRESS(ROW()-1, COLUMN()+1)))</f>
        <v>0</v>
      </c>
      <c r="F25" s="21">
        <f t="shared" ca="1" si="1"/>
        <v>0</v>
      </c>
      <c r="I25" s="22">
        <f t="shared" ca="1" si="2"/>
        <v>42342</v>
      </c>
      <c r="J25" s="23" t="b">
        <f ca="1">IF(INDIRECT(ADDRESS(ROW(), COLUMN()-1))&lt;=F2, TRUE, FALSE)</f>
        <v>1</v>
      </c>
    </row>
    <row r="26" spans="2:10" ht="15.75" customHeight="1" x14ac:dyDescent="0.15">
      <c r="B26" s="24">
        <f t="shared" ca="1" si="0"/>
        <v>42343</v>
      </c>
      <c r="C26" s="25"/>
      <c r="D26" s="19">
        <v>0</v>
      </c>
      <c r="E26" s="27">
        <f ca="1">IF(INDIRECT(ADDRESS(ROW(), COLUMN()+5)), INDIRECT(ADDRESS(ROW()-1, COLUMN()+1))+E18, INDIRECT(ADDRESS(ROW()-1, COLUMN()+1)))</f>
        <v>0</v>
      </c>
      <c r="F26" s="21">
        <f t="shared" ca="1" si="1"/>
        <v>0</v>
      </c>
      <c r="I26" s="22">
        <f t="shared" ca="1" si="2"/>
        <v>42343</v>
      </c>
      <c r="J26" s="23" t="b">
        <f ca="1">IF(INDIRECT(ADDRESS(ROW(), COLUMN()-1))&lt;=F2, TRUE, FALSE)</f>
        <v>1</v>
      </c>
    </row>
    <row r="27" spans="2:10" ht="15.75" customHeight="1" x14ac:dyDescent="0.15">
      <c r="B27" s="24">
        <f t="shared" ca="1" si="0"/>
        <v>42344</v>
      </c>
      <c r="C27" s="25"/>
      <c r="D27" s="19">
        <v>0</v>
      </c>
      <c r="E27" s="27">
        <f ca="1">IF(INDIRECT(ADDRESS(ROW(), COLUMN()+5)), INDIRECT(ADDRESS(ROW()-1, COLUMN()+1))+E18, INDIRECT(ADDRESS(ROW()-1, COLUMN()+1)))</f>
        <v>0</v>
      </c>
      <c r="F27" s="21">
        <f t="shared" ca="1" si="1"/>
        <v>0</v>
      </c>
      <c r="I27" s="22">
        <f t="shared" ca="1" si="2"/>
        <v>42344</v>
      </c>
      <c r="J27" s="23" t="b">
        <f ca="1">IF(INDIRECT(ADDRESS(ROW(), COLUMN()-1))&lt;=F2, TRUE, FALSE)</f>
        <v>1</v>
      </c>
    </row>
    <row r="28" spans="2:10" ht="15.75" customHeight="1" x14ac:dyDescent="0.15">
      <c r="B28" s="24">
        <f t="shared" ca="1" si="0"/>
        <v>42345</v>
      </c>
      <c r="C28" s="18"/>
      <c r="D28" s="19">
        <v>0</v>
      </c>
      <c r="E28" s="27">
        <f ca="1">IF(INDIRECT(ADDRESS(ROW(), COLUMN()+5)), INDIRECT(ADDRESS(ROW()-1, COLUMN()+1))+E18, INDIRECT(ADDRESS(ROW()-1, COLUMN()+1)))</f>
        <v>0</v>
      </c>
      <c r="F28" s="21">
        <f t="shared" ca="1" si="1"/>
        <v>0</v>
      </c>
      <c r="I28" s="22">
        <f t="shared" ca="1" si="2"/>
        <v>42345</v>
      </c>
      <c r="J28" s="23" t="b">
        <f ca="1">IF(INDIRECT(ADDRESS(ROW(), COLUMN()-1))&lt;=F2, TRUE, FALSE)</f>
        <v>1</v>
      </c>
    </row>
    <row r="29" spans="2:10" ht="15.75" customHeight="1" x14ac:dyDescent="0.15">
      <c r="B29" s="24">
        <f t="shared" ca="1" si="0"/>
        <v>42346</v>
      </c>
      <c r="C29" s="18"/>
      <c r="D29" s="19">
        <v>0</v>
      </c>
      <c r="E29" s="27">
        <f ca="1">IF(INDIRECT(ADDRESS(ROW(), COLUMN()+5)), INDIRECT(ADDRESS(ROW()-1, COLUMN()+1))+E18, INDIRECT(ADDRESS(ROW()-1, COLUMN()+1)))</f>
        <v>0</v>
      </c>
      <c r="F29" s="21">
        <f t="shared" ca="1" si="1"/>
        <v>0</v>
      </c>
      <c r="I29" s="22">
        <f t="shared" ca="1" si="2"/>
        <v>42346</v>
      </c>
      <c r="J29" s="23" t="b">
        <f ca="1">IF(INDIRECT(ADDRESS(ROW(), COLUMN()-1))&lt;=F2, TRUE, FALSE)</f>
        <v>1</v>
      </c>
    </row>
    <row r="30" spans="2:10" ht="15.75" customHeight="1" x14ac:dyDescent="0.15">
      <c r="B30" s="24">
        <f t="shared" ca="1" si="0"/>
        <v>42347</v>
      </c>
      <c r="C30" s="18"/>
      <c r="D30" s="19">
        <v>0</v>
      </c>
      <c r="E30" s="27">
        <f ca="1">IF(INDIRECT(ADDRESS(ROW(), COLUMN()+5)), INDIRECT(ADDRESS(ROW()-1, COLUMN()+1))+E18, INDIRECT(ADDRESS(ROW()-1, COLUMN()+1)))</f>
        <v>0</v>
      </c>
      <c r="F30" s="21">
        <f t="shared" ca="1" si="1"/>
        <v>0</v>
      </c>
      <c r="I30" s="22">
        <f t="shared" ca="1" si="2"/>
        <v>42347</v>
      </c>
      <c r="J30" s="23" t="b">
        <f ca="1">IF(INDIRECT(ADDRESS(ROW(), COLUMN()-1))&lt;=F2, TRUE, FALSE)</f>
        <v>1</v>
      </c>
    </row>
    <row r="31" spans="2:10" ht="15.75" customHeight="1" x14ac:dyDescent="0.15">
      <c r="B31" s="24">
        <f t="shared" ca="1" si="0"/>
        <v>42348</v>
      </c>
      <c r="C31" s="25"/>
      <c r="D31" s="19">
        <v>0</v>
      </c>
      <c r="E31" s="27">
        <f ca="1">IF(INDIRECT(ADDRESS(ROW(), COLUMN()+5)), INDIRECT(ADDRESS(ROW()-1, COLUMN()+1))+E18, INDIRECT(ADDRESS(ROW()-1, COLUMN()+1)))</f>
        <v>0</v>
      </c>
      <c r="F31" s="21">
        <f t="shared" ca="1" si="1"/>
        <v>0</v>
      </c>
      <c r="I31" s="22">
        <f t="shared" ca="1" si="2"/>
        <v>42348</v>
      </c>
      <c r="J31" s="23" t="b">
        <f ca="1">IF(INDIRECT(ADDRESS(ROW(), COLUMN()-1))&lt;=F2, TRUE, FALSE)</f>
        <v>1</v>
      </c>
    </row>
    <row r="32" spans="2:10" ht="15.75" customHeight="1" x14ac:dyDescent="0.15">
      <c r="B32" s="24">
        <f t="shared" ca="1" si="0"/>
        <v>42349</v>
      </c>
      <c r="C32" s="18"/>
      <c r="D32" s="19">
        <v>0</v>
      </c>
      <c r="E32" s="27">
        <f ca="1">IF(INDIRECT(ADDRESS(ROW(), COLUMN()+5)), INDIRECT(ADDRESS(ROW()-1, COLUMN()+1))+E18, INDIRECT(ADDRESS(ROW()-1, COLUMN()+1)))</f>
        <v>0</v>
      </c>
      <c r="F32" s="21">
        <f t="shared" ca="1" si="1"/>
        <v>0</v>
      </c>
      <c r="I32" s="22">
        <f t="shared" ca="1" si="2"/>
        <v>42349</v>
      </c>
      <c r="J32" s="23" t="b">
        <f ca="1">IF(INDIRECT(ADDRESS(ROW(), COLUMN()-1))&lt;=F2, TRUE, FALSE)</f>
        <v>1</v>
      </c>
    </row>
    <row r="33" spans="2:10" ht="15.75" customHeight="1" x14ac:dyDescent="0.15">
      <c r="B33" s="24">
        <f t="shared" ca="1" si="0"/>
        <v>42350</v>
      </c>
      <c r="C33" s="18"/>
      <c r="D33" s="19">
        <v>0</v>
      </c>
      <c r="E33" s="27">
        <f ca="1">IF(INDIRECT(ADDRESS(ROW(), COLUMN()+5)), INDIRECT(ADDRESS(ROW()-1, COLUMN()+1))+E18, INDIRECT(ADDRESS(ROW()-1, COLUMN()+1)))</f>
        <v>0</v>
      </c>
      <c r="F33" s="21">
        <f t="shared" ca="1" si="1"/>
        <v>0</v>
      </c>
      <c r="I33" s="22">
        <f t="shared" ca="1" si="2"/>
        <v>42350</v>
      </c>
      <c r="J33" s="23" t="b">
        <f ca="1">IF(INDIRECT(ADDRESS(ROW(), COLUMN()-1))&lt;=F2, TRUE, FALSE)</f>
        <v>1</v>
      </c>
    </row>
    <row r="34" spans="2:10" ht="15.75" customHeight="1" x14ac:dyDescent="0.15">
      <c r="B34" s="24">
        <f t="shared" ca="1" si="0"/>
        <v>42351</v>
      </c>
      <c r="C34" s="18"/>
      <c r="D34" s="19">
        <v>0</v>
      </c>
      <c r="E34" s="27">
        <f ca="1">IF(INDIRECT(ADDRESS(ROW(), COLUMN()+5)), INDIRECT(ADDRESS(ROW()-1, COLUMN()+1))+E18, INDIRECT(ADDRESS(ROW()-1, COLUMN()+1)))</f>
        <v>0</v>
      </c>
      <c r="F34" s="21">
        <f t="shared" ca="1" si="1"/>
        <v>0</v>
      </c>
      <c r="I34" s="22">
        <f t="shared" ca="1" si="2"/>
        <v>42351</v>
      </c>
      <c r="J34" s="23" t="b">
        <f ca="1">IF(INDIRECT(ADDRESS(ROW(), COLUMN()-1))&lt;=F2, TRUE, FALSE)</f>
        <v>1</v>
      </c>
    </row>
    <row r="35" spans="2:10" ht="15.75" customHeight="1" x14ac:dyDescent="0.15">
      <c r="B35" s="24">
        <f t="shared" ca="1" si="0"/>
        <v>42352</v>
      </c>
      <c r="C35" s="18"/>
      <c r="D35" s="19">
        <v>0</v>
      </c>
      <c r="E35" s="27">
        <f ca="1">IF(INDIRECT(ADDRESS(ROW(), COLUMN()+5)), INDIRECT(ADDRESS(ROW()-1, COLUMN()+1))+E18, INDIRECT(ADDRESS(ROW()-1, COLUMN()+1)))</f>
        <v>0</v>
      </c>
      <c r="F35" s="21">
        <f t="shared" ca="1" si="1"/>
        <v>0</v>
      </c>
      <c r="I35" s="22">
        <f t="shared" ca="1" si="2"/>
        <v>42352</v>
      </c>
      <c r="J35" s="23" t="b">
        <f ca="1">IF(INDIRECT(ADDRESS(ROW(), COLUMN()-1))&lt;=F2, TRUE, FALSE)</f>
        <v>1</v>
      </c>
    </row>
    <row r="36" spans="2:10" ht="15.75" customHeight="1" x14ac:dyDescent="0.15">
      <c r="B36" s="24">
        <f t="shared" ca="1" si="0"/>
        <v>42353</v>
      </c>
      <c r="C36" s="18"/>
      <c r="D36" s="19">
        <v>0</v>
      </c>
      <c r="E36" s="27">
        <f ca="1">IF(INDIRECT(ADDRESS(ROW(), COLUMN()+5)), INDIRECT(ADDRESS(ROW()-1, COLUMN()+1))+E18, INDIRECT(ADDRESS(ROW()-1, COLUMN()+1)))</f>
        <v>0</v>
      </c>
      <c r="F36" s="21">
        <f t="shared" ca="1" si="1"/>
        <v>0</v>
      </c>
      <c r="I36" s="22">
        <f t="shared" ca="1" si="2"/>
        <v>42353</v>
      </c>
      <c r="J36" s="23" t="b">
        <f ca="1">IF(INDIRECT(ADDRESS(ROW(), COLUMN()-1))&lt;=F2, TRUE, FALSE)</f>
        <v>1</v>
      </c>
    </row>
    <row r="37" spans="2:10" ht="15.75" customHeight="1" x14ac:dyDescent="0.15">
      <c r="B37" s="24">
        <f t="shared" ca="1" si="0"/>
        <v>42354</v>
      </c>
      <c r="C37" s="18"/>
      <c r="D37" s="19">
        <v>0</v>
      </c>
      <c r="E37" s="27">
        <f ca="1">IF(INDIRECT(ADDRESS(ROW(), COLUMN()+5)), INDIRECT(ADDRESS(ROW()-1, COLUMN()+1))+E18, INDIRECT(ADDRESS(ROW()-1, COLUMN()+1)))</f>
        <v>0</v>
      </c>
      <c r="F37" s="21">
        <f t="shared" ca="1" si="1"/>
        <v>0</v>
      </c>
      <c r="I37" s="22">
        <f t="shared" ca="1" si="2"/>
        <v>42354</v>
      </c>
      <c r="J37" s="23" t="b">
        <f ca="1">IF(INDIRECT(ADDRESS(ROW(), COLUMN()-1))&lt;=F2, TRUE, FALSE)</f>
        <v>1</v>
      </c>
    </row>
    <row r="38" spans="2:10" ht="15.75" customHeight="1" x14ac:dyDescent="0.15">
      <c r="B38" s="24">
        <f t="shared" ca="1" si="0"/>
        <v>42355</v>
      </c>
      <c r="C38" s="18"/>
      <c r="D38" s="19">
        <v>0</v>
      </c>
      <c r="E38" s="27">
        <f ca="1">IF(INDIRECT(ADDRESS(ROW(), COLUMN()+5)), INDIRECT(ADDRESS(ROW()-1, COLUMN()+1))+E18, INDIRECT(ADDRESS(ROW()-1, COLUMN()+1)))</f>
        <v>0</v>
      </c>
      <c r="F38" s="21">
        <f t="shared" ca="1" si="1"/>
        <v>0</v>
      </c>
      <c r="I38" s="22">
        <f t="shared" ca="1" si="2"/>
        <v>42355</v>
      </c>
      <c r="J38" s="23" t="b">
        <f ca="1">IF(INDIRECT(ADDRESS(ROW(), COLUMN()-1))&lt;=F2, TRUE, FALSE)</f>
        <v>1</v>
      </c>
    </row>
    <row r="39" spans="2:10" ht="15.75" customHeight="1" x14ac:dyDescent="0.15">
      <c r="B39" s="24">
        <f t="shared" ca="1" si="0"/>
        <v>42356</v>
      </c>
      <c r="C39" s="18"/>
      <c r="D39" s="19">
        <v>0</v>
      </c>
      <c r="E39" s="27">
        <f ca="1">IF(INDIRECT(ADDRESS(ROW(), COLUMN()+5)), INDIRECT(ADDRESS(ROW()-1, COLUMN()+1))+E18, INDIRECT(ADDRESS(ROW()-1, COLUMN()+1)))</f>
        <v>0</v>
      </c>
      <c r="F39" s="21">
        <f t="shared" ca="1" si="1"/>
        <v>0</v>
      </c>
      <c r="I39" s="22">
        <f t="shared" ca="1" si="2"/>
        <v>42356</v>
      </c>
      <c r="J39" s="23" t="b">
        <f ca="1">IF(INDIRECT(ADDRESS(ROW(), COLUMN()-1))&lt;=F2, TRUE, FALSE)</f>
        <v>1</v>
      </c>
    </row>
    <row r="40" spans="2:10" ht="15.75" customHeight="1" x14ac:dyDescent="0.15">
      <c r="B40" s="24">
        <f t="shared" ca="1" si="0"/>
        <v>42357</v>
      </c>
      <c r="C40" s="18"/>
      <c r="D40" s="19">
        <v>0</v>
      </c>
      <c r="E40" s="27">
        <f ca="1">IF(INDIRECT(ADDRESS(ROW(), COLUMN()+5)), INDIRECT(ADDRESS(ROW()-1, COLUMN()+1))+E18, INDIRECT(ADDRESS(ROW()-1, COLUMN()+1)))</f>
        <v>0</v>
      </c>
      <c r="F40" s="21">
        <f t="shared" ca="1" si="1"/>
        <v>0</v>
      </c>
      <c r="I40" s="22">
        <f t="shared" ca="1" si="2"/>
        <v>42357</v>
      </c>
      <c r="J40" s="23" t="b">
        <f ca="1">IF(INDIRECT(ADDRESS(ROW(), COLUMN()-1))&lt;=F2, TRUE, FALSE)</f>
        <v>1</v>
      </c>
    </row>
    <row r="41" spans="2:10" ht="15.75" customHeight="1" x14ac:dyDescent="0.15">
      <c r="B41" s="24">
        <f t="shared" ca="1" si="0"/>
        <v>42358</v>
      </c>
      <c r="C41" s="18"/>
      <c r="D41" s="19">
        <v>0</v>
      </c>
      <c r="E41" s="27">
        <f ca="1">IF(INDIRECT(ADDRESS(ROW(), COLUMN()+5)), INDIRECT(ADDRESS(ROW()-1, COLUMN()+1))+E18, INDIRECT(ADDRESS(ROW()-1, COLUMN()+1)))</f>
        <v>0</v>
      </c>
      <c r="F41" s="21">
        <f t="shared" ca="1" si="1"/>
        <v>0</v>
      </c>
      <c r="I41" s="22">
        <f t="shared" ca="1" si="2"/>
        <v>42358</v>
      </c>
      <c r="J41" s="23" t="b">
        <f ca="1">IF(INDIRECT(ADDRESS(ROW(), COLUMN()-1))&lt;=F2, TRUE, FALSE)</f>
        <v>1</v>
      </c>
    </row>
    <row r="42" spans="2:10" ht="15.75" customHeight="1" x14ac:dyDescent="0.15">
      <c r="B42" s="24">
        <f t="shared" ca="1" si="0"/>
        <v>42359</v>
      </c>
      <c r="C42" s="18"/>
      <c r="D42" s="19">
        <v>0</v>
      </c>
      <c r="E42" s="27">
        <f ca="1">IF(INDIRECT(ADDRESS(ROW(), COLUMN()+5)), INDIRECT(ADDRESS(ROW()-1, COLUMN()+1))+E18, INDIRECT(ADDRESS(ROW()-1, COLUMN()+1)))</f>
        <v>0</v>
      </c>
      <c r="F42" s="21">
        <f t="shared" ca="1" si="1"/>
        <v>0</v>
      </c>
      <c r="I42" s="22">
        <f t="shared" ca="1" si="2"/>
        <v>42359</v>
      </c>
      <c r="J42" s="23" t="b">
        <f ca="1">IF(INDIRECT(ADDRESS(ROW(), COLUMN()-1))&lt;=F2, TRUE, FALSE)</f>
        <v>1</v>
      </c>
    </row>
    <row r="43" spans="2:10" ht="15.75" customHeight="1" x14ac:dyDescent="0.15">
      <c r="B43" s="24">
        <f t="shared" ca="1" si="0"/>
        <v>42360</v>
      </c>
      <c r="C43" s="18"/>
      <c r="D43" s="19">
        <v>0</v>
      </c>
      <c r="E43" s="27">
        <f ca="1">IF(INDIRECT(ADDRESS(ROW(), COLUMN()+5)), INDIRECT(ADDRESS(ROW()-1, COLUMN()+1))+E18, INDIRECT(ADDRESS(ROW()-1, COLUMN()+1)))</f>
        <v>0</v>
      </c>
      <c r="F43" s="21">
        <f t="shared" ca="1" si="1"/>
        <v>0</v>
      </c>
      <c r="I43" s="22">
        <f t="shared" ca="1" si="2"/>
        <v>42360</v>
      </c>
      <c r="J43" s="23" t="b">
        <f ca="1">IF(INDIRECT(ADDRESS(ROW(), COLUMN()-1))&lt;=F2, TRUE, FALSE)</f>
        <v>1</v>
      </c>
    </row>
    <row r="44" spans="2:10" ht="15.75" customHeight="1" x14ac:dyDescent="0.15">
      <c r="B44" s="24">
        <f t="shared" ca="1" si="0"/>
        <v>42361</v>
      </c>
      <c r="C44" s="18"/>
      <c r="D44" s="19">
        <v>0</v>
      </c>
      <c r="E44" s="27">
        <f ca="1">IF(INDIRECT(ADDRESS(ROW(), COLUMN()+5)), INDIRECT(ADDRESS(ROW()-1, COLUMN()+1))+E18, INDIRECT(ADDRESS(ROW()-1, COLUMN()+1)))</f>
        <v>0</v>
      </c>
      <c r="F44" s="21">
        <f t="shared" ca="1" si="1"/>
        <v>0</v>
      </c>
      <c r="I44" s="22">
        <f t="shared" ca="1" si="2"/>
        <v>42361</v>
      </c>
      <c r="J44" s="23" t="b">
        <f ca="1">IF(INDIRECT(ADDRESS(ROW(), COLUMN()-1))&lt;=F2, TRUE, FALSE)</f>
        <v>1</v>
      </c>
    </row>
    <row r="45" spans="2:10" ht="15.75" customHeight="1" x14ac:dyDescent="0.15">
      <c r="B45" s="24">
        <f t="shared" ca="1" si="0"/>
        <v>42362</v>
      </c>
      <c r="C45" s="18"/>
      <c r="D45" s="19">
        <v>0</v>
      </c>
      <c r="E45" s="27">
        <f ca="1">IF(INDIRECT(ADDRESS(ROW(), COLUMN()+5)), INDIRECT(ADDRESS(ROW()-1, COLUMN()+1))+E18, INDIRECT(ADDRESS(ROW()-1, COLUMN()+1)))</f>
        <v>0</v>
      </c>
      <c r="F45" s="21">
        <f t="shared" ca="1" si="1"/>
        <v>0</v>
      </c>
      <c r="I45" s="22">
        <f t="shared" ca="1" si="2"/>
        <v>42362</v>
      </c>
      <c r="J45" s="23" t="b">
        <f ca="1">IF(INDIRECT(ADDRESS(ROW(), COLUMN()-1))&lt;=F2, TRUE, FALSE)</f>
        <v>1</v>
      </c>
    </row>
    <row r="46" spans="2:10" ht="15.75" customHeight="1" x14ac:dyDescent="0.15">
      <c r="B46" s="24">
        <f t="shared" ca="1" si="0"/>
        <v>42363</v>
      </c>
      <c r="C46" s="25"/>
      <c r="D46" s="19">
        <v>0</v>
      </c>
      <c r="E46" s="27">
        <f ca="1">IF(INDIRECT(ADDRESS(ROW(), COLUMN()+5)), INDIRECT(ADDRESS(ROW()-1, COLUMN()+1))+E18, INDIRECT(ADDRESS(ROW()-1, COLUMN()+1)))</f>
        <v>0</v>
      </c>
      <c r="F46" s="21">
        <f t="shared" ca="1" si="1"/>
        <v>0</v>
      </c>
      <c r="I46" s="22">
        <f t="shared" ca="1" si="2"/>
        <v>42363</v>
      </c>
      <c r="J46" s="23" t="b">
        <f ca="1">IF(INDIRECT(ADDRESS(ROW(), COLUMN()-1))&lt;=F2, TRUE, FALSE)</f>
        <v>1</v>
      </c>
    </row>
    <row r="47" spans="2:10" ht="15.75" customHeight="1" x14ac:dyDescent="0.15">
      <c r="B47" s="24">
        <f t="shared" ca="1" si="0"/>
        <v>42364</v>
      </c>
      <c r="C47" s="18"/>
      <c r="D47" s="19">
        <v>0</v>
      </c>
      <c r="E47" s="27">
        <f ca="1">IF(INDIRECT(ADDRESS(ROW(), COLUMN()+5)), INDIRECT(ADDRESS(ROW()-1, COLUMN()+1))+E18, INDIRECT(ADDRESS(ROW()-1, COLUMN()+1)))</f>
        <v>0</v>
      </c>
      <c r="F47" s="21">
        <f t="shared" ca="1" si="1"/>
        <v>0</v>
      </c>
      <c r="I47" s="22">
        <f t="shared" ca="1" si="2"/>
        <v>42364</v>
      </c>
      <c r="J47" s="23" t="b">
        <f ca="1">IF(INDIRECT(ADDRESS(ROW(), COLUMN()-1))&lt;=F2, TRUE, FALSE)</f>
        <v>1</v>
      </c>
    </row>
    <row r="48" spans="2:10" ht="15.75" customHeight="1" x14ac:dyDescent="0.15">
      <c r="B48" s="24">
        <f t="shared" ca="1" si="0"/>
        <v>42365</v>
      </c>
      <c r="C48" s="18"/>
      <c r="D48" s="19">
        <v>0</v>
      </c>
      <c r="E48" s="27">
        <f ca="1">IF(INDIRECT(ADDRESS(ROW(), COLUMN()+5)), INDIRECT(ADDRESS(ROW()-1, COLUMN()+1))+E18, INDIRECT(ADDRESS(ROW()-1, COLUMN()+1)))</f>
        <v>0</v>
      </c>
      <c r="F48" s="21">
        <f t="shared" ca="1" si="1"/>
        <v>0</v>
      </c>
      <c r="I48" s="22">
        <f t="shared" ca="1" si="2"/>
        <v>42365</v>
      </c>
      <c r="J48" s="23" t="b">
        <f ca="1">IF(INDIRECT(ADDRESS(ROW(), COLUMN()-1))&lt;=F2, TRUE, FALSE)</f>
        <v>1</v>
      </c>
    </row>
    <row r="49" spans="2:10" ht="14" x14ac:dyDescent="0.15">
      <c r="B49" s="24">
        <f t="shared" ca="1" si="0"/>
        <v>42366</v>
      </c>
      <c r="C49" s="18"/>
      <c r="D49" s="19">
        <v>0</v>
      </c>
      <c r="E49" s="27">
        <f ca="1">IF(INDIRECT(ADDRESS(ROW(), COLUMN()+5)), INDIRECT(ADDRESS(ROW()-1, COLUMN()+1))+E18, INDIRECT(ADDRESS(ROW()-1, COLUMN()+1)))</f>
        <v>0</v>
      </c>
      <c r="F49" s="21">
        <f t="shared" ca="1" si="1"/>
        <v>0</v>
      </c>
      <c r="I49" s="22">
        <f t="shared" ca="1" si="2"/>
        <v>42366</v>
      </c>
      <c r="J49" s="23" t="b">
        <f ca="1">IF(INDIRECT(ADDRESS(ROW(), COLUMN()-1))&lt;=F2, TRUE, FALSE)</f>
        <v>1</v>
      </c>
    </row>
    <row r="50" spans="2:10" ht="14" x14ac:dyDescent="0.15">
      <c r="B50" s="24">
        <f t="shared" ca="1" si="0"/>
        <v>42367</v>
      </c>
      <c r="C50" s="25"/>
      <c r="D50" s="19">
        <v>0</v>
      </c>
      <c r="E50" s="27">
        <f ca="1">IF(INDIRECT(ADDRESS(ROW(), COLUMN()+5)), INDIRECT(ADDRESS(ROW()-1, COLUMN()+1))+E18, INDIRECT(ADDRESS(ROW()-1, COLUMN()+1)))</f>
        <v>0</v>
      </c>
      <c r="F50" s="21">
        <f t="shared" ca="1" si="1"/>
        <v>0</v>
      </c>
      <c r="I50" s="22">
        <f t="shared" ca="1" si="2"/>
        <v>42367</v>
      </c>
      <c r="J50" s="23" t="b">
        <f ca="1">IF(INDIRECT(ADDRESS(ROW(), COLUMN()-1))&lt;=F2, TRUE, FALSE)</f>
        <v>1</v>
      </c>
    </row>
    <row r="51" spans="2:10" ht="14" x14ac:dyDescent="0.15">
      <c r="B51" s="24">
        <f t="shared" ca="1" si="0"/>
        <v>42368</v>
      </c>
      <c r="C51" s="18"/>
      <c r="D51" s="19">
        <v>0</v>
      </c>
      <c r="E51" s="27">
        <f ca="1">IF(INDIRECT(ADDRESS(ROW(), COLUMN()+5)), INDIRECT(ADDRESS(ROW()-1, COLUMN()+1))+E18, INDIRECT(ADDRESS(ROW()-1, COLUMN()+1)))</f>
        <v>0</v>
      </c>
      <c r="F51" s="21">
        <f t="shared" ca="1" si="1"/>
        <v>0</v>
      </c>
      <c r="I51" s="22">
        <f t="shared" ca="1" si="2"/>
        <v>42368</v>
      </c>
      <c r="J51" s="23" t="b">
        <f ca="1">IF(INDIRECT(ADDRESS(ROW(), COLUMN()-1))&lt;=F2, TRUE, FALSE)</f>
        <v>1</v>
      </c>
    </row>
    <row r="52" spans="2:10" ht="14" x14ac:dyDescent="0.15">
      <c r="B52" s="36">
        <f t="shared" ca="1" si="0"/>
        <v>42369</v>
      </c>
      <c r="C52" s="31"/>
      <c r="D52" s="32">
        <v>0</v>
      </c>
      <c r="E52" s="33">
        <f ca="1">IF(INDIRECT(ADDRESS(ROW(), COLUMN()+5)), INDIRECT(ADDRESS(ROW()-1, COLUMN()+1))+E18, INDIRECT(ADDRESS(ROW()-1, COLUMN()+1)))</f>
        <v>0</v>
      </c>
      <c r="F52" s="34">
        <f t="shared" ca="1" si="1"/>
        <v>0</v>
      </c>
      <c r="I52" s="22">
        <f t="shared" ca="1" si="2"/>
        <v>42369</v>
      </c>
      <c r="J52" s="23" t="b">
        <f ca="1">IF(INDIRECT(ADDRESS(ROW(), COLUMN()-1))&lt;=F2, TRUE, FALSE)</f>
        <v>1</v>
      </c>
    </row>
    <row r="53" spans="2:10" ht="18" x14ac:dyDescent="0.2">
      <c r="B53" s="44" t="s">
        <v>20</v>
      </c>
      <c r="C53" s="45"/>
      <c r="D53" s="35">
        <f>SUM(D22:D52)</f>
        <v>0</v>
      </c>
      <c r="E53" s="35">
        <f t="shared" ref="E53:F53" ca="1" si="3">E52</f>
        <v>0</v>
      </c>
      <c r="F53" s="35">
        <f t="shared" ca="1" si="3"/>
        <v>0</v>
      </c>
    </row>
  </sheetData>
  <mergeCells count="16">
    <mergeCell ref="H6:I6"/>
    <mergeCell ref="E4:F4"/>
    <mergeCell ref="B4:C4"/>
    <mergeCell ref="H4:I4"/>
    <mergeCell ref="H2:L2"/>
    <mergeCell ref="H5:I5"/>
    <mergeCell ref="B16:D17"/>
    <mergeCell ref="E16:F17"/>
    <mergeCell ref="B53:C53"/>
    <mergeCell ref="E18:F19"/>
    <mergeCell ref="I8:J10"/>
    <mergeCell ref="I11:J14"/>
    <mergeCell ref="H11:H14"/>
    <mergeCell ref="H8:H10"/>
    <mergeCell ref="B18:D19"/>
    <mergeCell ref="I20:J20"/>
  </mergeCells>
  <conditionalFormatting sqref="E22:F52">
    <cfRule type="cellIs" dxfId="1" priority="1" operator="greaterThanOrEqual">
      <formula>0</formula>
    </cfRule>
  </conditionalFormatting>
  <conditionalFormatting sqref="E22:F52">
    <cfRule type="cellIs" dxfId="0" priority="2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JAN 2015</vt:lpstr>
      <vt:lpstr>Sheet1</vt:lpstr>
      <vt:lpstr>FEB 2015</vt:lpstr>
      <vt:lpstr>MAR 2015</vt:lpstr>
      <vt:lpstr>APR 2015</vt:lpstr>
      <vt:lpstr>MAY 2015</vt:lpstr>
      <vt:lpstr>JUN 2015</vt:lpstr>
      <vt:lpstr>JUL 2015</vt:lpstr>
      <vt:lpstr>AUG 2015</vt:lpstr>
      <vt:lpstr>SEP 2015</vt:lpstr>
      <vt:lpstr>OCT 2015</vt:lpstr>
      <vt:lpstr>NOV 2015</vt:lpstr>
      <vt:lpstr>DEC 2015</vt:lpstr>
      <vt:lpstr>test1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2018-06-14T20:39:04Z</dcterms:created>
  <dcterms:modified xsi:type="dcterms:W3CDTF">2018-06-14T20:39:04Z</dcterms:modified>
</cp:coreProperties>
</file>